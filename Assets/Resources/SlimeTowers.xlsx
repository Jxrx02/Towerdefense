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nweise" sheetId="1" state="visible" r:id="rId3"/>
    <sheet name="Türme" sheetId="2" state="visible" r:id="rId4"/>
    <sheet name="Upgrades" sheetId="3" state="visible" r:id="rId5"/>
    <sheet name="Projektile" sheetId="4" state="visible" r:id="rId6"/>
    <sheet name="Kumulie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<sst xmlns="http://schemas.openxmlformats.org/spreadsheetml/2006/main" count="836" uniqueCount="329">
  <si>
    <t xml:space="preserve">SCHLEIMTÜRME: Werte für alle Inspector-Felder</t>
  </si>
  <si>
    <t xml:space="preserve">Blaue Zahlen sind Eingabewerte, die 1:1 in die Unity-Felder gehören. Schwarze Zellen in 'Kumuliert' sind Formeln (Grundwert + alle Upgrades bis zum Level).</t>
  </si>
  <si>
    <t xml:space="preserve">Spaltenüberschriften sind die Feldnamen im Unity-Inspector. Anteile (Crit, Pen, Omnivamp, Multiplikatoren) sind Werte von 0 bis 1 (0.15 = 15 %).</t>
  </si>
  <si>
    <t xml:space="preserve">Aufbau</t>
  </si>
  <si>
    <t xml:space="preserve">Türme: Werte des Turm-Prefabs auf Level 1 (inkl. bonusPerLevel, das bei jedem Level-Up addiert wird).</t>
  </si>
  <si>
    <t xml:space="preserve">Upgrades: je Turm 3 Pfade mit 2 Stufen (Level 2 und 3). Pro Pfad wird nur einer gewählt. Werte sind Zuwächse, die auf den Turm addiert werden.</t>
  </si>
  <si>
    <t xml:space="preserve">Projektile: ein Prefab pro Variante. Das Projektil wechselt, wenn das Upgrade ein 'projectile' angibt. Alle Felder stehen drin, relevant sind nur die des gewählten 'mode'.</t>
  </si>
  <si>
    <t xml:space="preserve">Kumuliert: berechnet Schaden, Abklingzeit, DPS, Reichweite, HP und Defensiv-/Offensivwerte je Pfad und Level. Zum Balancieren.</t>
  </si>
  <si>
    <t xml:space="preserve">Achtung: Schaden und DPS in 'Kumuliert' zählen nur den Turmschaden (damage). Der Eigenschaden der Projektile (baseDmg, chainDamage, DoT-Ticks, splitterDamage, Sticky-/Link-Schaden) kommt on top, siehe 'Projektile'. Ohne diesen sind Quallen-, Säure- und Abflussturm in der Tabelle scheinbar schwach.</t>
  </si>
  <si>
    <t xml:space="preserve">Annahmen (bitte an dein Spiel anpassen)</t>
  </si>
  <si>
    <t xml:space="preserve">1 Weltenheit = 1 Kachel. Reichweiten 5 bis 6,5 Kacheln. Preise, Forschungskosten und Schaden sind Startwerte ohne Kenntnis deiner Gegnerwerte.</t>
  </si>
  <si>
    <t xml:space="preserve">Schleimlinge, Abpraller und Slow-Werte sind Vorschläge. Die Gegner-Gesundheit entscheidet, ob 8 Schaden alle 1,6 s passt.</t>
  </si>
  <si>
    <t xml:space="preserve">Upgrade-Namen (upgradeName) und Pfad-Namen (UpgradePath.towerName) müssen mit deinem Forschungsbaum übereinstimmen, sonst bleiben die Upgrades gesperrt (IsUpgradeUnlocked).</t>
  </si>
  <si>
    <t xml:space="preserve">Nicht gesetzt (manuell im Inspector)</t>
  </si>
  <si>
    <t xml:space="preserve">Sprites (idle_sprites, attack_sprites, pathShopIcon, wallSprites, Gate-Sprites), spawnProjectileOffsetPoint, rangeIndicator, interactionIndicator, outlineMaterial, levelConfig, aoeVfxPrefab, blackHoleVfxPrefab.</t>
  </si>
  <si>
    <t xml:space="preserve">Hat ein Upgrade keine eigenen Sprites oder kein Projektil, bleiben die bisherigen erhalten (Tower.UpgradePath prüft das jetzt).</t>
  </si>
  <si>
    <t xml:space="preserve">Beschreibungen, die noch keinen Code haben</t>
  </si>
  <si>
    <t xml:space="preserve">Verschleimt wird als einfacher Slow umgesetzt (hitEffects.slowAmount/slowDuration), ohne Stapel.</t>
  </si>
  <si>
    <t xml:space="preserve">Schicksalsband (Schaden wird auf den Fadenpartner geteilt), Pfützen/Restschleim, Rückkehr-Splitter, Hinrichtung unter 20 % HP und rekursive Teilung gibt es noch nicht. Die Beschreibungen nennen nur Effekte, die mit den vorhandenen Feldern funktionieren.</t>
  </si>
  <si>
    <t xml:space="preserve">Omnivamp auf Kettenblitz heilt pro getroffenem Ziel. Bei Quallenturm daher nur 6 %.</t>
  </si>
  <si>
    <t xml:space="preserve">Leimfalle ist ein Support-Turm: seine Multiplikatoren (Reichweite, Schaden, Tempo, Slow) gelten für andere Türme in seiner Reichweite.</t>
  </si>
  <si>
    <t xml:space="preserve">Turm</t>
  </si>
  <si>
    <t xml:space="preserve">towerName</t>
  </si>
  <si>
    <t xml:space="preserve">towerDesc</t>
  </si>
  <si>
    <t xml:space="preserve">towerInitPrice</t>
  </si>
  <si>
    <t xml:space="preserve">displayedStats (Flags)</t>
  </si>
  <si>
    <t xml:space="preserve">displayedStats (Wert)</t>
  </si>
  <si>
    <t xml:space="preserve">statHealthPoints</t>
  </si>
  <si>
    <t xml:space="preserve">currentHealth</t>
  </si>
  <si>
    <t xml:space="preserve">baseArmor</t>
  </si>
  <si>
    <t xml:space="preserve">baseMagicResist</t>
  </si>
  <si>
    <t xml:space="preserve">autoAddVitals</t>
  </si>
  <si>
    <t xml:space="preserve">range</t>
  </si>
  <si>
    <t xml:space="preserve">interactionrange</t>
  </si>
  <si>
    <t xml:space="preserve">damage</t>
  </si>
  <si>
    <t xml:space="preserve">timeInBetweenShots</t>
  </si>
  <si>
    <t xml:space="preserve">attackSpeedMultiplier</t>
  </si>
  <si>
    <t xml:space="preserve">targetPreference</t>
  </si>
  <si>
    <t xml:space="preserve">offense.critChance</t>
  </si>
  <si>
    <t xml:space="preserve">offense.critDamage</t>
  </si>
  <si>
    <t xml:space="preserve">offense.lethality</t>
  </si>
  <si>
    <t xml:space="preserve">offense.armorPenPercent</t>
  </si>
  <si>
    <t xml:space="preserve">offense.magicPenFlat</t>
  </si>
  <si>
    <t xml:space="preserve">offense.magicPenPercent</t>
  </si>
  <si>
    <t xml:space="preserve">offense.omnivamp</t>
  </si>
  <si>
    <t xml:space="preserve">statCoinsEarnedPerSecond</t>
  </si>
  <si>
    <t xml:space="preserve">statHealthRegenPerSecond</t>
  </si>
  <si>
    <t xml:space="preserve">statRangeMultiplier</t>
  </si>
  <si>
    <t xml:space="preserve">statDmgMultiplier</t>
  </si>
  <si>
    <t xml:space="preserve">statAttackSpeedMultiplier</t>
  </si>
  <si>
    <t xml:space="preserve">statSlowMultiplier</t>
  </si>
  <si>
    <t xml:space="preserve">projectilePrefab</t>
  </si>
  <si>
    <t xml:space="preserve">bonusPerLevel.health</t>
  </si>
  <si>
    <t xml:space="preserve">bonusPerLevel.healthRegen</t>
  </si>
  <si>
    <t xml:space="preserve">bonusPerLevel.damage</t>
  </si>
  <si>
    <t xml:space="preserve">bonusPerLevel.range</t>
  </si>
  <si>
    <t xml:space="preserve">bonusPerLevel.cooldownDecrease</t>
  </si>
  <si>
    <t xml:space="preserve">bonusPerLevel.armor</t>
  </si>
  <si>
    <t xml:space="preserve">bonusPerLevel.magicResist</t>
  </si>
  <si>
    <t xml:space="preserve">bonusPerLevel.critChance</t>
  </si>
  <si>
    <t xml:space="preserve">bonusPerLevel.critDamage</t>
  </si>
  <si>
    <t xml:space="preserve">bonusPerLevel.lethality</t>
  </si>
  <si>
    <t xml:space="preserve">bonusPerLevel.armorPenPercent</t>
  </si>
  <si>
    <t xml:space="preserve">bonusPerLevel.magicPenFlat</t>
  </si>
  <si>
    <t xml:space="preserve">bonusPerLevel.magicPenPercent</t>
  </si>
  <si>
    <t xml:space="preserve">bonusPerLevel.omnivamp</t>
  </si>
  <si>
    <t xml:space="preserve">Glibberwerfer</t>
  </si>
  <si>
    <t xml:space="preserve">Schleudert zähe Klumpen, die abprallen und Gegner verlangsamen.
Abpraller: 1 · Slow: 15 % (1,5 s)
Schaden 8, alle 1,6 s, Reichweite 6, 110 HP, Rüstung 5</t>
  </si>
  <si>
    <t xml:space="preserve">Damage|Range|AttackSpeed|Health|Regen|Armor|MagicResist|CritChance|CritDamage|Penetration|Omnivamp</t>
  </si>
  <si>
    <t xml:space="preserve">ja</t>
  </si>
  <si>
    <t xml:space="preserve">Nearest</t>
  </si>
  <si>
    <t xml:space="preserve">P_Glibber_Basis</t>
  </si>
  <si>
    <t xml:space="preserve">Säuretümpel</t>
  </si>
  <si>
    <t xml:space="preserve">Spuckt ätzende Säure, die Gegner über Zeit zersetzt.
Gift: 4 alle 0,5 s · Gift-Dauer: 3 s
Schaden 5, alle 2,2 s, Reichweite 5,5, 100 HP, Magieresistenz 5</t>
  </si>
  <si>
    <t xml:space="preserve">Damage|Range|AttackSpeed|Health|MagicResist|Penetration</t>
  </si>
  <si>
    <t xml:space="preserve">Strongest</t>
  </si>
  <si>
    <t xml:space="preserve">P_Saeure_Basis</t>
  </si>
  <si>
    <t xml:space="preserve">Spaltschleim</t>
  </si>
  <si>
    <t xml:space="preserve">Klumpen, die beim Aufprall in kleine Schleimlinge zerplatzen.
Splitter: 3 · Splitterschaden: 3
Schaden 8, alle 2 s, Reichweite 5,5, 110 HP, Rüstung 3, Magieresistenz 3</t>
  </si>
  <si>
    <t xml:space="preserve">Damage|Range|AttackSpeed|Health|Regen|Armor|MagicResist|CritChance|Penetration|Omnivamp</t>
  </si>
  <si>
    <t xml:space="preserve">First</t>
  </si>
  <si>
    <t xml:space="preserve">P_Spalt_Basis</t>
  </si>
  <si>
    <t xml:space="preserve">Klebfadenturm</t>
  </si>
  <si>
    <t xml:space="preserve">Spannt klebrige Fäden zwischen Gegnern und verlangsamt sie.
Fadenradius: 4 · Fadenslow: 40 % · Fadenschaden: 3 alle 0,5 s
Schaden 6, alle 2,4 s, Reichweite 5, 120 HP, Rüstung 5, Magieresistenz 5</t>
  </si>
  <si>
    <t xml:space="preserve">Damage|Range|AttackSpeed|Health|Armor|MagicResist|Penetration|RangeMultiplier|DamageMultiplier|AttackSpeedMultiplier|SlowMultiplier</t>
  </si>
  <si>
    <t xml:space="preserve">P_Faden_Basis</t>
  </si>
  <si>
    <t xml:space="preserve">Quallenturm</t>
  </si>
  <si>
    <t xml:space="preserve">Entlädt Blitze, die von Gegner zu Gegner springen.
Blitzziele: 2 · Blitzschaden: 8 · Blitzradius: 3 · Blitzabfall: 20 %
Schaden 4, alle 1,8 s, Reichweite 5,5, 100 HP, Magieresistenz 10</t>
  </si>
  <si>
    <t xml:space="preserve">P_Qualle_Basis</t>
  </si>
  <si>
    <t xml:space="preserve">Schleimabfluss</t>
  </si>
  <si>
    <t xml:space="preserve">Reißt Gegner in einen Schleimstrudel und zerquetscht sie.
Sogdauer: 2 s · Sogradius: 3
Schaden 14, alle 5 s, Reichweite 6,5, 100 HP, Magieresistenz 10</t>
  </si>
  <si>
    <t xml:space="preserve">Damage|Range|AttackSpeed|Health|Regen|Armor|MagicResist|Penetration|Omnivamp</t>
  </si>
  <si>
    <t xml:space="preserve">P_Abfluss_Basis</t>
  </si>
  <si>
    <t xml:space="preserve">Pfad-Nr</t>
  </si>
  <si>
    <t xml:space="preserve">Pfad-Name (UpgradePath.towerName)</t>
  </si>
  <si>
    <t xml:space="preserve">Pfad-Forschung (UpgradePath.researchCost)</t>
  </si>
  <si>
    <t xml:space="preserve">Level</t>
  </si>
  <si>
    <t xml:space="preserve">upgradeName</t>
  </si>
  <si>
    <t xml:space="preserve">description</t>
  </si>
  <si>
    <t xml:space="preserve">researchCost</t>
  </si>
  <si>
    <t xml:space="preserve">upgradeCost</t>
  </si>
  <si>
    <t xml:space="preserve">damageIncrease</t>
  </si>
  <si>
    <t xml:space="preserve">rangeIncrease</t>
  </si>
  <si>
    <t xml:space="preserve">attackSpeedIncrease</t>
  </si>
  <si>
    <t xml:space="preserve">timeInBetweenShotsDecrease</t>
  </si>
  <si>
    <t xml:space="preserve">coinsEarnedPerSecond</t>
  </si>
  <si>
    <t xml:space="preserve">healthpoints</t>
  </si>
  <si>
    <t xml:space="preserve">healthRegenPerSecond</t>
  </si>
  <si>
    <t xml:space="preserve">rangeMultiplier</t>
  </si>
  <si>
    <t xml:space="preserve">dmgMultiplier</t>
  </si>
  <si>
    <t xml:space="preserve">slowMultiplier</t>
  </si>
  <si>
    <t xml:space="preserve">bonus.health</t>
  </si>
  <si>
    <t xml:space="preserve">bonus.healthRegen</t>
  </si>
  <si>
    <t xml:space="preserve">bonus.damage</t>
  </si>
  <si>
    <t xml:space="preserve">bonus.range</t>
  </si>
  <si>
    <t xml:space="preserve">bonus.cooldownDecrease</t>
  </si>
  <si>
    <t xml:space="preserve">bonus.armor</t>
  </si>
  <si>
    <t xml:space="preserve">bonus.magicResist</t>
  </si>
  <si>
    <t xml:space="preserve">bonus.critChance</t>
  </si>
  <si>
    <t xml:space="preserve">bonus.critDamage</t>
  </si>
  <si>
    <t xml:space="preserve">bonus.lethality</t>
  </si>
  <si>
    <t xml:space="preserve">bonus.armorPenPercent</t>
  </si>
  <si>
    <t xml:space="preserve">bonus.magicPenFlat</t>
  </si>
  <si>
    <t xml:space="preserve">bonus.magicPenPercent</t>
  </si>
  <si>
    <t xml:space="preserve">bonus.omnivamp</t>
  </si>
  <si>
    <t xml:space="preserve">projectile</t>
  </si>
  <si>
    <t xml:space="preserve">Glibberwerfer - Hüpfer</t>
  </si>
  <si>
    <t xml:space="preserve">Gummiball</t>
  </si>
  <si>
    <t xml:space="preserve">Abpraller: 1 → 3
+1 Schaden, +0,4 Reichweite, +20 HP, +6 Lethality</t>
  </si>
  <si>
    <t xml:space="preserve">P_Glibber_Huepfer_2</t>
  </si>
  <si>
    <t xml:space="preserve">Flummi</t>
  </si>
  <si>
    <t xml:space="preserve">Abpraller: 3 → 6 · Slow: 15 % (1,5 s) → 20 % (2 s)
+2 Schaden, +0,4 Reichweite, -0,15 s Abklingzeit, +10 % Angriffsanimation, +30 HP, +10 % Crit-Chance, +25 % Crit-Schaden, +8 Lethality</t>
  </si>
  <si>
    <t xml:space="preserve">P_Glibber_Huepfer_3</t>
  </si>
  <si>
    <t xml:space="preserve">Glibberwerfer - Klebrig</t>
  </si>
  <si>
    <t xml:space="preserve">Zähflüssig</t>
  </si>
  <si>
    <t xml:space="preserve">Slow: 15 % (1,5 s) → 30 % (2,5 s)
+0,3 Reichweite, -0,1 s Abklingzeit, +15 HP, +10 % Armor Pen</t>
  </si>
  <si>
    <t xml:space="preserve">P_Glibber_Klebrig_2</t>
  </si>
  <si>
    <t xml:space="preserve">Dauerkleber</t>
  </si>
  <si>
    <t xml:space="preserve">Slow: 30 % (2,5 s) → 45 % (3 s) · Rüstungs-Shred: -4 pro Stapel (max. 3)
+1 Schaden, -0,1 s Abklingzeit, +25 HP, +4 Lethality, +10 % Armor Pen</t>
  </si>
  <si>
    <t xml:space="preserve">P_Glibber_Klebrig_3</t>
  </si>
  <si>
    <t xml:space="preserve">Glibberwerfer - Pudding</t>
  </si>
  <si>
    <t xml:space="preserve">Wackelpudding</t>
  </si>
  <si>
    <t xml:space="preserve">+80 HP, +0,5 HP/s Regeneration, +25 Rüstung, +15 Magieresistenz, +6 % Omnivamp</t>
  </si>
  <si>
    <t xml:space="preserve">P_Glibber_Pudding_2</t>
  </si>
  <si>
    <t xml:space="preserve">Gelatinewall</t>
  </si>
  <si>
    <t xml:space="preserve">Abpraller: 1 → 2 · Slow: 15 % (1,5 s) → 20 % (2 s)
+1 Schaden, +160 HP, +1 HP/s Regeneration, +40 Rüstung, +30 Magieresistenz, +6 % Omnivamp</t>
  </si>
  <si>
    <t xml:space="preserve">P_Glibber_Pudding_3</t>
  </si>
  <si>
    <t xml:space="preserve">Säuretümpel - Ätzer</t>
  </si>
  <si>
    <t xml:space="preserve">Zersetzend</t>
  </si>
  <si>
    <t xml:space="preserve">Rüstungs-Shred: -10 pro Stapel (max. 3) · MR-Shred: -10 pro Stapel (max. 3)
+1 Schaden, +5 Magic Pen</t>
  </si>
  <si>
    <t xml:space="preserve">P_Saeure_Aetzer_2</t>
  </si>
  <si>
    <t xml:space="preserve">Totalauflösung</t>
  </si>
  <si>
    <t xml:space="preserve">Gift: 4 alle 0,5 s → 5 alle 0,5 s · Gift-Dauer: 3 s → 4 s · Rüstungs-Shred: -10 pro Stapel (max. 3) → -12 pro Stapel (max. 3) · MR-Shred: -10 pro Stapel (max. 3) → -12 pro Stapel (max. 3) · Shred %: -5 % pro Stapel
+2 Schaden, +0,3 Reichweite, +5 Magic Pen, +15 % Magic Pen</t>
  </si>
  <si>
    <t xml:space="preserve">P_Saeure_Aetzer_3</t>
  </si>
  <si>
    <t xml:space="preserve">Säuretümpel - Verdauer</t>
  </si>
  <si>
    <t xml:space="preserve">Magensaft</t>
  </si>
  <si>
    <t xml:space="preserve">Gift: 4 alle 0,5 s → 6 alle 0,5 s · Gift-Dauer: 3 s → 6 s · Anti-Heal: -30 % Heilung (3 s)
-0,2 s Abklingzeit, +10 % Angriffsanimation</t>
  </si>
  <si>
    <t xml:space="preserve">P_Saeure_Verdauer_2</t>
  </si>
  <si>
    <t xml:space="preserve">Fressrausch</t>
  </si>
  <si>
    <t xml:space="preserve">Gift: 6 alle 0,5 s → 9 alle 0,5 s · Anti-Heal: -30 % Heilung (3 s) → -50 % Heilung (4 s)
+1 Schaden, -0,2 s Abklingzeit, +15 % Magic Pen</t>
  </si>
  <si>
    <t xml:space="preserve">P_Saeure_Verdauer_3</t>
  </si>
  <si>
    <t xml:space="preserve">Säuretümpel - Giftblase</t>
  </si>
  <si>
    <t xml:space="preserve">Blubberlache</t>
  </si>
  <si>
    <t xml:space="preserve">Neu: Flächenschaden · Einschlag: +6 · Flächenradius: 1,6 · Slow: 20 % (2 s)
+30 HP</t>
  </si>
  <si>
    <t xml:space="preserve">P_Saeure_Giftblase_2</t>
  </si>
  <si>
    <t xml:space="preserve">Faulgrube</t>
  </si>
  <si>
    <t xml:space="preserve">Einschlag: +6 → +8 · Flächenradius: 1,6 → 2,6 · Slow: 20 % (2 s) → 30 % (2,5 s) · Anti-Heal: -30 % Heilung (3 s)
+2 Schaden, +20 % Magic Pen</t>
  </si>
  <si>
    <t xml:space="preserve">P_Saeure_Giftblase_3</t>
  </si>
  <si>
    <t xml:space="preserve">Spaltschleim - Teiler</t>
  </si>
  <si>
    <t xml:space="preserve">Zellteilung</t>
  </si>
  <si>
    <t xml:space="preserve">Splitter: 3 → 5
+8 Lethality</t>
  </si>
  <si>
    <t xml:space="preserve">P_Spalt_Teiler_2</t>
  </si>
  <si>
    <t xml:space="preserve">Explosive Teilung</t>
  </si>
  <si>
    <t xml:space="preserve">Splitter: 5 → 8 · Splitterschaden: 3 → 4
+1 Schaden, +15 % Crit-Chance</t>
  </si>
  <si>
    <t xml:space="preserve">P_Spalt_Teiler_3</t>
  </si>
  <si>
    <t xml:space="preserve">Spaltschleim - Verschmelzer</t>
  </si>
  <si>
    <t xml:space="preserve">Zusammenfluss</t>
  </si>
  <si>
    <t xml:space="preserve">Splitter: 3 → 4
+40 HP, +10 % Omnivamp</t>
  </si>
  <si>
    <t xml:space="preserve">P_Spalt_Verschmelzer_2</t>
  </si>
  <si>
    <t xml:space="preserve">Urschleim</t>
  </si>
  <si>
    <t xml:space="preserve">Einschlag: +4 · Splitterschaden: 3 → 6
+2 Schaden, +120 HP, +1 HP/s Regeneration, +10 % Omnivamp</t>
  </si>
  <si>
    <t xml:space="preserve">P_Spalt_Verschmelzer_3</t>
  </si>
  <si>
    <t xml:space="preserve">Spaltschleim - Brutkolonie</t>
  </si>
  <si>
    <t xml:space="preserve">Kleckse</t>
  </si>
  <si>
    <t xml:space="preserve">Splitter: 3 → 5 · Splitter-Slow: 25 % (2 s)
+15 Magieresistenz</t>
  </si>
  <si>
    <t xml:space="preserve">P_Spalt_Brut_2</t>
  </si>
  <si>
    <t xml:space="preserve">Schleimteppich</t>
  </si>
  <si>
    <t xml:space="preserve">Splitter: 5 → 6 · Splitterschaden: 3 → 4 · Splitter-Slow: 25 % (2 s) → 40 % (3 s)
+80 HP, +15 Rüstung, +30 Magieresistenz</t>
  </si>
  <si>
    <t xml:space="preserve">P_Spalt_Brut_3</t>
  </si>
  <si>
    <t xml:space="preserve">Klebfadenturm - Spinnenseide</t>
  </si>
  <si>
    <t xml:space="preserve">Doppelfaden</t>
  </si>
  <si>
    <t xml:space="preserve">Fadenradius: 4 → 5 · Fadenslow: 40 % → 55 % · Fadenschaden: 3 alle 0,5 s → 4 alle 0,5 s
+0,4 Reichweite</t>
  </si>
  <si>
    <t xml:space="preserve">P_Faden_Seide_2</t>
  </si>
  <si>
    <t xml:space="preserve">Schicksalsband</t>
  </si>
  <si>
    <t xml:space="preserve">Fadenradius: 5 → 6 · Fadenslow: 55 % → 65 % · Fadenschaden: 4 alle 0,5 s → 6 alle 0,5 s
+2 Schaden, +10 % Armor Pen</t>
  </si>
  <si>
    <t xml:space="preserve">P_Faden_Seide_3</t>
  </si>
  <si>
    <t xml:space="preserve">Klebfadenturm - Platzblase</t>
  </si>
  <si>
    <t xml:space="preserve">Gasblase</t>
  </si>
  <si>
    <t xml:space="preserve">Neu: Haftbombe · Zünder: 2 s · Sprengradius: 1,5 · Sprengschaden: 15
+2 Schaden</t>
  </si>
  <si>
    <t xml:space="preserve">P_Faden_Blase_2</t>
  </si>
  <si>
    <t xml:space="preserve">Chlorgas</t>
  </si>
  <si>
    <t xml:space="preserve">Zünder: 2 s → 1,2 s · Sprengradius: 1,5 → 2,2 · Sprengschaden: 15 → 30 · Anti-Heal: -30 % Heilung (3 s)
+15 Lethality</t>
  </si>
  <si>
    <t xml:space="preserve">P_Faden_Blase_3</t>
  </si>
  <si>
    <t xml:space="preserve">Klebfadenturm - Leimfalle</t>
  </si>
  <si>
    <t xml:space="preserve">Leimpfütze</t>
  </si>
  <si>
    <t xml:space="preserve">Fadenslow: 40 % → 50 %
Türme in Reichweite: +5 % Reichweite, Treffer verlangsamen um 15 %</t>
  </si>
  <si>
    <t xml:space="preserve">P_Faden_Leim_2</t>
  </si>
  <si>
    <t xml:space="preserve">Honigfalle</t>
  </si>
  <si>
    <t xml:space="preserve">Fadenradius: 4 → 5 · Fadenslow: 50 % → 55 % · Fadenschaden: 3 alle 0,5 s → 4 alle 0,5 s
+60 HP, Türme in Reichweite: +5 % Reichweite, +5 % Schaden, +5 % Angriffstempo, Treffer verlangsamen um 10 %</t>
  </si>
  <si>
    <t xml:space="preserve">P_Faden_Leim_3</t>
  </si>
  <si>
    <t xml:space="preserve">Quallenturm - Gewitterwolke</t>
  </si>
  <si>
    <t xml:space="preserve">Leitgel</t>
  </si>
  <si>
    <t xml:space="preserve">Blitzziele: 2 → 4 · Blitzradius: 3 → 3,5
+20 HP</t>
  </si>
  <si>
    <t xml:space="preserve">P_Qualle_Gewitter_2</t>
  </si>
  <si>
    <t xml:space="preserve">Donnerquallen</t>
  </si>
  <si>
    <t xml:space="preserve">Blitzziele: 4 → 7 · Blitzschaden: 8 → 9 · Blitzradius: 3,5 → 4 · Blitzabfall: 20 % → 10 %
+1 Schaden, +15 % Magic Pen</t>
  </si>
  <si>
    <t xml:space="preserve">P_Qualle_Gewitter_3</t>
  </si>
  <si>
    <t xml:space="preserve">Quallenturm - Stachelqualle</t>
  </si>
  <si>
    <t xml:space="preserve">Nesselgift</t>
  </si>
  <si>
    <t xml:space="preserve">Blitzziele: 2 → 1 · Blitzschaden: 8 → 20
-0,1 s Abklingzeit, +15 % Crit-Chance, +12 Magic Pen</t>
  </si>
  <si>
    <t xml:space="preserve">P_Qualle_Stachel_2</t>
  </si>
  <si>
    <t xml:space="preserve">Stromschlag</t>
  </si>
  <si>
    <t xml:space="preserve">Blitzschaden: 20 → 34
+2 Schaden, +10 % Crit-Chance, +50 % Crit-Schaden, +10 Magic Pen</t>
  </si>
  <si>
    <t xml:space="preserve">P_Qualle_Stachel_3</t>
  </si>
  <si>
    <t xml:space="preserve">Quallenturm - Biolumineszenz</t>
  </si>
  <si>
    <t xml:space="preserve">Leuchtglibber</t>
  </si>
  <si>
    <t xml:space="preserve">+200 HP, +10 Rüstung, +30 Magieresistenz</t>
  </si>
  <si>
    <t xml:space="preserve">P_Qualle_Leucht_2</t>
  </si>
  <si>
    <t xml:space="preserve">Lichtfalle</t>
  </si>
  <si>
    <t xml:space="preserve">Blitzziele: 2 → 3 · Blitzschaden: 8 → 9 · Blitzabfall: 20 % → 15 %
+250 HP, +2 HP/s Regeneration, +30 Magieresistenz, +6 % Omnivamp</t>
  </si>
  <si>
    <t xml:space="preserve">P_Qualle_Leucht_3</t>
  </si>
  <si>
    <t xml:space="preserve">Schleimabfluss - Strudel</t>
  </si>
  <si>
    <t xml:space="preserve">Wirbel</t>
  </si>
  <si>
    <t xml:space="preserve">Sogdauer: 2 s → 3 s · Sogradius: 3 → 4
+4 Schaden</t>
  </si>
  <si>
    <t xml:space="preserve">P_Abfluss_Strudel_2</t>
  </si>
  <si>
    <t xml:space="preserve">Ereignishorizont</t>
  </si>
  <si>
    <t xml:space="preserve">Sogdauer: 3 s → 3,5 s · Sogradius: 4 → 4,5 · Slow: 50 % (3 s)
+8 Schaden, +5 Magic Pen, +20 % Magic Pen</t>
  </si>
  <si>
    <t xml:space="preserve">P_Abfluss_Strudel_3</t>
  </si>
  <si>
    <t xml:space="preserve">Schleimabfluss - Rückstau</t>
  </si>
  <si>
    <t xml:space="preserve">Gegenpol</t>
  </si>
  <si>
    <t xml:space="preserve">Neu: Rückstoß · Rückstoß: 3 Einheiten
+30 HP</t>
  </si>
  <si>
    <t xml:space="preserve">P_Abfluss_Rueck_2</t>
  </si>
  <si>
    <t xml:space="preserve">Springflut</t>
  </si>
  <si>
    <t xml:space="preserve">Rückstoß: 3 Einheiten → 5 Einheiten · Slow: 40 % (3 s)
+250 HP, +15 Rüstung, +35 Magieresistenz</t>
  </si>
  <si>
    <t xml:space="preserve">P_Abfluss_Rueck_3</t>
  </si>
  <si>
    <t xml:space="preserve">Schleimabfluss - Kanalisation</t>
  </si>
  <si>
    <t xml:space="preserve">Klärschlamm</t>
  </si>
  <si>
    <t xml:space="preserve">+1 HP/s Regeneration, +6 % Omnivamp</t>
  </si>
  <si>
    <t xml:space="preserve">P_Abfluss_Kanal_2</t>
  </si>
  <si>
    <t xml:space="preserve">Verwertung</t>
  </si>
  <si>
    <t xml:space="preserve">Sogdauer: 2 s → 2,5 s · Sogradius: 3 → 3,5 · Anti-Heal: -50 % Heilung (4 s)
+100 HP, +2 HP/s Regeneration, +6 % Omnivamp</t>
  </si>
  <si>
    <t xml:space="preserve">P_Abfluss_Kanal_3</t>
  </si>
  <si>
    <t xml:space="preserve">Prefab-Name</t>
  </si>
  <si>
    <t xml:space="preserve">baseDmg</t>
  </si>
  <si>
    <t xml:space="preserve">rotationAngleOffset</t>
  </si>
  <si>
    <t xml:space="preserve">doRotation</t>
  </si>
  <si>
    <t xml:space="preserve">lookAtTarget</t>
  </si>
  <si>
    <t xml:space="preserve">hideTilCollision</t>
  </si>
  <si>
    <t xml:space="preserve">canFindNewTarget</t>
  </si>
  <si>
    <t xml:space="preserve">speed</t>
  </si>
  <si>
    <t xml:space="preserve">turnSpeed</t>
  </si>
  <si>
    <t xml:space="preserve">maxRedirectAngle</t>
  </si>
  <si>
    <t xml:space="preserve">damageType</t>
  </si>
  <si>
    <t xml:space="preserve">mode</t>
  </si>
  <si>
    <t xml:space="preserve">hitEffects.antiHealPercent</t>
  </si>
  <si>
    <t xml:space="preserve">hitEffects.antiHealDuration</t>
  </si>
  <si>
    <t xml:space="preserve">hitEffects.armorShredFlat</t>
  </si>
  <si>
    <t xml:space="preserve">hitEffects.mrShredFlat</t>
  </si>
  <si>
    <t xml:space="preserve">hitEffects.shredPercent</t>
  </si>
  <si>
    <t xml:space="preserve">hitEffects.shredDuration</t>
  </si>
  <si>
    <t xml:space="preserve">hitEffects.shredMaxStacks</t>
  </si>
  <si>
    <t xml:space="preserve">hitEffects.shredKey</t>
  </si>
  <si>
    <t xml:space="preserve">hitEffects.slowAmount</t>
  </si>
  <si>
    <t xml:space="preserve">hitEffects.slowDuration</t>
  </si>
  <si>
    <t xml:space="preserve">aoeRadius</t>
  </si>
  <si>
    <t xml:space="preserve">dotDuration</t>
  </si>
  <si>
    <t xml:space="preserve">dotInterval</t>
  </si>
  <si>
    <t xml:space="preserve">dotDamagePerTick</t>
  </si>
  <si>
    <t xml:space="preserve">chainDamage</t>
  </si>
  <si>
    <t xml:space="preserve">chainCount</t>
  </si>
  <si>
    <t xml:space="preserve">chainDamageFalloff</t>
  </si>
  <si>
    <t xml:space="preserve">chainRadius</t>
  </si>
  <si>
    <t xml:space="preserve">knockbackDistance</t>
  </si>
  <si>
    <t xml:space="preserve">knockbackDuration</t>
  </si>
  <si>
    <t xml:space="preserve">splitterCount</t>
  </si>
  <si>
    <t xml:space="preserve">splitterDamage</t>
  </si>
  <si>
    <t xml:space="preserve">pierceCount</t>
  </si>
  <si>
    <t xml:space="preserve">blackHolePullDuration</t>
  </si>
  <si>
    <t xml:space="preserve">blackHoleRadius</t>
  </si>
  <si>
    <t xml:space="preserve">stickyDelay</t>
  </si>
  <si>
    <t xml:space="preserve">stickyAoeRadius</t>
  </si>
  <si>
    <t xml:space="preserve">stickyAoeDamage</t>
  </si>
  <si>
    <t xml:space="preserve">chainLinkRadius</t>
  </si>
  <si>
    <t xml:space="preserve">chainSlowAmount</t>
  </si>
  <si>
    <t xml:space="preserve">chainLinkDamage</t>
  </si>
  <si>
    <t xml:space="preserve">splitterPrefab</t>
  </si>
  <si>
    <t xml:space="preserve">nein</t>
  </si>
  <si>
    <t xml:space="preserve">Physical</t>
  </si>
  <si>
    <t xml:space="preserve">Default</t>
  </si>
  <si>
    <t xml:space="preserve">shred</t>
  </si>
  <si>
    <t xml:space="preserve">glibber</t>
  </si>
  <si>
    <t xml:space="preserve">Magic</t>
  </si>
  <si>
    <t xml:space="preserve">DoT</t>
  </si>
  <si>
    <t xml:space="preserve">saeure</t>
  </si>
  <si>
    <t xml:space="preserve">AOE</t>
  </si>
  <si>
    <t xml:space="preserve">P_Spalt_Schleimling</t>
  </si>
  <si>
    <t xml:space="preserve">P_Spalt_Schleimling_Klebrig_2</t>
  </si>
  <si>
    <t xml:space="preserve">P_Spalt_Schleimling_Klebrig_3</t>
  </si>
  <si>
    <t xml:space="preserve">Splitter</t>
  </si>
  <si>
    <t xml:space="preserve">Chainslow</t>
  </si>
  <si>
    <t xml:space="preserve">Sticky</t>
  </si>
  <si>
    <t xml:space="preserve">ChainLightning</t>
  </si>
  <si>
    <t xml:space="preserve">BlackHole</t>
  </si>
  <si>
    <t xml:space="preserve">Knockback</t>
  </si>
  <si>
    <t xml:space="preserve">Pfad</t>
  </si>
  <si>
    <t xml:space="preserve">Schaden</t>
  </si>
  <si>
    <t xml:space="preserve">Abklingzeit (s)</t>
  </si>
  <si>
    <t xml:space="preserve">DPS</t>
  </si>
  <si>
    <t xml:space="preserve">Reichweite</t>
  </si>
  <si>
    <t xml:space="preserve">HP</t>
  </si>
  <si>
    <t xml:space="preserve">Rüstung</t>
  </si>
  <si>
    <t xml:space="preserve">Magieresistenz</t>
  </si>
  <si>
    <t xml:space="preserve">Crit-Chance</t>
  </si>
  <si>
    <t xml:space="preserve">Lethality</t>
  </si>
  <si>
    <t xml:space="preserve">Armor Pen %</t>
  </si>
  <si>
    <t xml:space="preserve">Magic Pen flat</t>
  </si>
  <si>
    <t xml:space="preserve">Magic Pen %</t>
  </si>
  <si>
    <t xml:space="preserve">Omnivamp</t>
  </si>
  <si>
    <t xml:space="preserve">Basis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</si>
</sst>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23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23.8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44"/>
    <col collapsed="false" customWidth="true" hidden="false" outlineLevel="0" max="4" min="4" style="1" width="16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17"/>
    <col collapsed="false" customWidth="true" hidden="false" outlineLevel="0" max="11" min="11" style="1" width="15"/>
    <col collapsed="false" customWidth="true" hidden="false" outlineLevel="0" max="12" min="12" style="1" width="11"/>
    <col collapsed="false" customWidth="true" hidden="false" outlineLevel="0" max="13" min="13" style="1" width="18"/>
    <col collapsed="false" customWidth="true" hidden="false" outlineLevel="0" max="14" min="14" style="1" width="11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18"/>
    <col collapsed="false" customWidth="true" hidden="false" outlineLevel="0" max="19" min="18" style="1" width="20"/>
    <col collapsed="false" customWidth="true" hidden="false" outlineLevel="0" max="20" min="20" style="1" width="19"/>
    <col collapsed="false" customWidth="true" hidden="false" outlineLevel="0" max="23" min="21" style="1" width="22"/>
    <col collapsed="false" customWidth="true" hidden="false" outlineLevel="0" max="24" min="24" style="1" width="18"/>
    <col collapsed="false" customWidth="true" hidden="false" outlineLevel="0" max="26" min="25" style="1" width="22"/>
    <col collapsed="false" customWidth="true" hidden="false" outlineLevel="0" max="27" min="27" style="1" width="21"/>
    <col collapsed="false" customWidth="true" hidden="false" outlineLevel="0" max="28" min="28" style="1" width="19"/>
    <col collapsed="false" customWidth="true" hidden="false" outlineLevel="0" max="29" min="29" style="1" width="22"/>
    <col collapsed="false" customWidth="true" hidden="false" outlineLevel="0" max="30" min="30" style="1" width="20"/>
    <col collapsed="false" customWidth="true" hidden="false" outlineLevel="0" max="31" min="31" style="1" width="18"/>
    <col collapsed="false" customWidth="true" hidden="false" outlineLevel="0" max="34" min="32" style="1" width="22"/>
    <col collapsed="false" customWidth="true" hidden="false" outlineLevel="0" max="35" min="35" style="1" width="21"/>
    <col collapsed="false" customWidth="true" hidden="false" outlineLevel="0" max="36" min="36" style="1" width="22"/>
    <col collapsed="false" customWidth="true" hidden="false" outlineLevel="0" max="37" min="37" style="1" width="21"/>
    <col collapsed="false" customWidth="true" hidden="false" outlineLevel="0" max="45" min="38" style="1" width="22"/>
  </cols>
  <sheetData>
    <row r="1" customFormat="false" ht="42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  <c r="AC1" s="4" t="s">
        <v>49</v>
      </c>
      <c r="AD1" s="4" t="s">
        <v>50</v>
      </c>
      <c r="AE1" s="4" t="s">
        <v>51</v>
      </c>
      <c r="AF1" s="4" t="s">
        <v>52</v>
      </c>
      <c r="AG1" s="4" t="s">
        <v>53</v>
      </c>
      <c r="AH1" s="4" t="s">
        <v>54</v>
      </c>
      <c r="AI1" s="4" t="s">
        <v>55</v>
      </c>
      <c r="AJ1" s="4" t="s">
        <v>56</v>
      </c>
      <c r="AK1" s="4" t="s">
        <v>57</v>
      </c>
      <c r="AL1" s="4" t="s">
        <v>58</v>
      </c>
      <c r="AM1" s="4" t="s">
        <v>59</v>
      </c>
      <c r="AN1" s="4" t="s">
        <v>60</v>
      </c>
      <c r="AO1" s="4" t="s">
        <v>61</v>
      </c>
      <c r="AP1" s="4" t="s">
        <v>62</v>
      </c>
      <c r="AQ1" s="4" t="s">
        <v>63</v>
      </c>
      <c r="AR1" s="4" t="s">
        <v>64</v>
      </c>
      <c r="AS1" s="4" t="s">
        <v>65</v>
      </c>
    </row>
    <row r="2" customFormat="false" ht="57.45" hidden="false" customHeight="false" outlineLevel="0" collapsed="false">
      <c r="A2" s="5" t="s">
        <v>66</v>
      </c>
      <c r="B2" s="5" t="s">
        <v>66</v>
      </c>
      <c r="C2" s="6" t="s">
        <v>67</v>
      </c>
      <c r="D2" s="7" t="n">
        <v>8</v>
      </c>
      <c r="E2" s="6" t="s">
        <v>68</v>
      </c>
      <c r="F2" s="7" t="n">
        <v>64559</v>
      </c>
      <c r="G2" s="7" t="n">
        <v>110</v>
      </c>
      <c r="H2" s="7" t="n">
        <v>110</v>
      </c>
      <c r="I2" s="7" t="n">
        <v>5</v>
      </c>
      <c r="J2" s="7" t="n">
        <v>0</v>
      </c>
      <c r="K2" s="5" t="s">
        <v>69</v>
      </c>
      <c r="L2" s="7" t="n">
        <v>6</v>
      </c>
      <c r="M2" s="7" t="n">
        <v>1.5</v>
      </c>
      <c r="N2" s="7" t="n">
        <v>8</v>
      </c>
      <c r="O2" s="7" t="n">
        <v>1.6</v>
      </c>
      <c r="P2" s="7" t="n">
        <v>1</v>
      </c>
      <c r="Q2" s="5" t="s">
        <v>70</v>
      </c>
      <c r="R2" s="7" t="n">
        <v>0</v>
      </c>
      <c r="S2" s="7" t="n">
        <v>1.75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5" t="s">
        <v>71</v>
      </c>
      <c r="AF2" s="7" t="n">
        <v>8</v>
      </c>
      <c r="AG2" s="7" t="n">
        <v>0</v>
      </c>
      <c r="AH2" s="7" t="n">
        <v>1</v>
      </c>
      <c r="AI2" s="7" t="n">
        <v>0</v>
      </c>
      <c r="AJ2" s="7" t="n">
        <v>0</v>
      </c>
      <c r="AK2" s="7" t="n">
        <v>1</v>
      </c>
      <c r="AL2" s="7" t="n">
        <v>0</v>
      </c>
      <c r="AM2" s="7" t="n">
        <v>0.01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</row>
    <row r="3" customFormat="false" ht="46.25" hidden="false" customHeight="false" outlineLevel="0" collapsed="false">
      <c r="A3" s="5" t="s">
        <v>72</v>
      </c>
      <c r="B3" s="5" t="s">
        <v>72</v>
      </c>
      <c r="C3" s="6" t="s">
        <v>73</v>
      </c>
      <c r="D3" s="7" t="n">
        <v>10</v>
      </c>
      <c r="E3" s="6" t="s">
        <v>74</v>
      </c>
      <c r="F3" s="7" t="n">
        <v>10255</v>
      </c>
      <c r="G3" s="7" t="n">
        <v>100</v>
      </c>
      <c r="H3" s="7" t="n">
        <v>100</v>
      </c>
      <c r="I3" s="7" t="n">
        <v>0</v>
      </c>
      <c r="J3" s="7" t="n">
        <v>5</v>
      </c>
      <c r="K3" s="5" t="s">
        <v>69</v>
      </c>
      <c r="L3" s="7" t="n">
        <v>5.5</v>
      </c>
      <c r="M3" s="7" t="n">
        <v>1.5</v>
      </c>
      <c r="N3" s="7" t="n">
        <v>5</v>
      </c>
      <c r="O3" s="7" t="n">
        <v>2.2</v>
      </c>
      <c r="P3" s="7" t="n">
        <v>1</v>
      </c>
      <c r="Q3" s="5" t="s">
        <v>75</v>
      </c>
      <c r="R3" s="7" t="n">
        <v>0</v>
      </c>
      <c r="S3" s="7" t="n">
        <v>1.75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5" t="s">
        <v>76</v>
      </c>
      <c r="AF3" s="7" t="n">
        <v>8</v>
      </c>
      <c r="AG3" s="7" t="n">
        <v>0</v>
      </c>
      <c r="AH3" s="7" t="n">
        <v>1</v>
      </c>
      <c r="AI3" s="7" t="n">
        <v>0</v>
      </c>
      <c r="AJ3" s="7" t="n">
        <v>0</v>
      </c>
      <c r="AK3" s="7" t="n">
        <v>0</v>
      </c>
      <c r="AL3" s="7" t="n">
        <v>1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0.5</v>
      </c>
      <c r="AR3" s="7" t="n">
        <v>0</v>
      </c>
      <c r="AS3" s="7" t="n">
        <v>0</v>
      </c>
    </row>
    <row r="4" customFormat="false" ht="57.45" hidden="false" customHeight="false" outlineLevel="0" collapsed="false">
      <c r="A4" s="5" t="s">
        <v>77</v>
      </c>
      <c r="B4" s="5" t="s">
        <v>77</v>
      </c>
      <c r="C4" s="6" t="s">
        <v>78</v>
      </c>
      <c r="D4" s="7" t="n">
        <v>12</v>
      </c>
      <c r="E4" s="6" t="s">
        <v>79</v>
      </c>
      <c r="F4" s="7" t="n">
        <v>31791</v>
      </c>
      <c r="G4" s="7" t="n">
        <v>110</v>
      </c>
      <c r="H4" s="7" t="n">
        <v>110</v>
      </c>
      <c r="I4" s="7" t="n">
        <v>3</v>
      </c>
      <c r="J4" s="7" t="n">
        <v>3</v>
      </c>
      <c r="K4" s="5" t="s">
        <v>69</v>
      </c>
      <c r="L4" s="7" t="n">
        <v>5.5</v>
      </c>
      <c r="M4" s="7" t="n">
        <v>1.5</v>
      </c>
      <c r="N4" s="7" t="n">
        <v>8</v>
      </c>
      <c r="O4" s="7" t="n">
        <v>2</v>
      </c>
      <c r="P4" s="7" t="n">
        <v>1</v>
      </c>
      <c r="Q4" s="5" t="s">
        <v>80</v>
      </c>
      <c r="R4" s="7" t="n">
        <v>0</v>
      </c>
      <c r="S4" s="7" t="n">
        <v>1.75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5" t="s">
        <v>81</v>
      </c>
      <c r="AF4" s="7" t="n">
        <v>8</v>
      </c>
      <c r="AG4" s="7" t="n">
        <v>0</v>
      </c>
      <c r="AH4" s="7" t="n">
        <v>1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0.01</v>
      </c>
      <c r="AN4" s="7" t="n">
        <v>0</v>
      </c>
      <c r="AO4" s="7" t="n">
        <v>0.5</v>
      </c>
      <c r="AP4" s="7" t="n">
        <v>0</v>
      </c>
      <c r="AQ4" s="7" t="n">
        <v>0</v>
      </c>
      <c r="AR4" s="7" t="n">
        <v>0</v>
      </c>
      <c r="AS4" s="7" t="n">
        <v>0</v>
      </c>
    </row>
    <row r="5" customFormat="false" ht="68.65" hidden="false" customHeight="false" outlineLevel="0" collapsed="false">
      <c r="A5" s="5" t="s">
        <v>82</v>
      </c>
      <c r="B5" s="5" t="s">
        <v>82</v>
      </c>
      <c r="C5" s="6" t="s">
        <v>83</v>
      </c>
      <c r="D5" s="7" t="n">
        <v>12</v>
      </c>
      <c r="E5" s="6" t="s">
        <v>84</v>
      </c>
      <c r="F5" s="7" t="n">
        <v>12239</v>
      </c>
      <c r="G5" s="7" t="n">
        <v>120</v>
      </c>
      <c r="H5" s="7" t="n">
        <v>120</v>
      </c>
      <c r="I5" s="7" t="n">
        <v>5</v>
      </c>
      <c r="J5" s="7" t="n">
        <v>5</v>
      </c>
      <c r="K5" s="5" t="s">
        <v>69</v>
      </c>
      <c r="L5" s="7" t="n">
        <v>5</v>
      </c>
      <c r="M5" s="7" t="n">
        <v>1.5</v>
      </c>
      <c r="N5" s="7" t="n">
        <v>6</v>
      </c>
      <c r="O5" s="7" t="n">
        <v>2.4</v>
      </c>
      <c r="P5" s="7" t="n">
        <v>1</v>
      </c>
      <c r="Q5" s="5" t="s">
        <v>70</v>
      </c>
      <c r="R5" s="7" t="n">
        <v>0</v>
      </c>
      <c r="S5" s="7" t="n">
        <v>1.75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5" t="s">
        <v>85</v>
      </c>
      <c r="AF5" s="7" t="n">
        <v>10</v>
      </c>
      <c r="AG5" s="7" t="n">
        <v>0</v>
      </c>
      <c r="AH5" s="7" t="n">
        <v>1</v>
      </c>
      <c r="AI5" s="7" t="n">
        <v>0</v>
      </c>
      <c r="AJ5" s="7" t="n">
        <v>0</v>
      </c>
      <c r="AK5" s="7" t="n">
        <v>1</v>
      </c>
      <c r="AL5" s="7" t="n">
        <v>1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</row>
    <row r="6" customFormat="false" ht="57.45" hidden="false" customHeight="false" outlineLevel="0" collapsed="false">
      <c r="A6" s="5" t="s">
        <v>86</v>
      </c>
      <c r="B6" s="5" t="s">
        <v>86</v>
      </c>
      <c r="C6" s="6" t="s">
        <v>87</v>
      </c>
      <c r="D6" s="7" t="n">
        <v>14</v>
      </c>
      <c r="E6" s="6" t="s">
        <v>68</v>
      </c>
      <c r="F6" s="7" t="n">
        <v>64559</v>
      </c>
      <c r="G6" s="7" t="n">
        <v>100</v>
      </c>
      <c r="H6" s="7" t="n">
        <v>100</v>
      </c>
      <c r="I6" s="7" t="n">
        <v>0</v>
      </c>
      <c r="J6" s="7" t="n">
        <v>10</v>
      </c>
      <c r="K6" s="5" t="s">
        <v>69</v>
      </c>
      <c r="L6" s="7" t="n">
        <v>5.5</v>
      </c>
      <c r="M6" s="7" t="n">
        <v>1.5</v>
      </c>
      <c r="N6" s="7" t="n">
        <v>4</v>
      </c>
      <c r="O6" s="7" t="n">
        <v>1.8</v>
      </c>
      <c r="P6" s="7" t="n">
        <v>1</v>
      </c>
      <c r="Q6" s="5" t="s">
        <v>80</v>
      </c>
      <c r="R6" s="7" t="n">
        <v>0</v>
      </c>
      <c r="S6" s="7" t="n">
        <v>1.75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5" t="s">
        <v>88</v>
      </c>
      <c r="AF6" s="7" t="n">
        <v>8</v>
      </c>
      <c r="AG6" s="7" t="n">
        <v>0</v>
      </c>
      <c r="AH6" s="7" t="n">
        <v>1</v>
      </c>
      <c r="AI6" s="7" t="n">
        <v>0</v>
      </c>
      <c r="AJ6" s="7" t="n">
        <v>0</v>
      </c>
      <c r="AK6" s="7" t="n">
        <v>0</v>
      </c>
      <c r="AL6" s="7" t="n">
        <v>1</v>
      </c>
      <c r="AM6" s="7" t="n">
        <v>0.01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</row>
    <row r="7" customFormat="false" ht="57.45" hidden="false" customHeight="false" outlineLevel="0" collapsed="false">
      <c r="A7" s="5" t="s">
        <v>89</v>
      </c>
      <c r="B7" s="5" t="s">
        <v>89</v>
      </c>
      <c r="C7" s="6" t="s">
        <v>90</v>
      </c>
      <c r="D7" s="7" t="n">
        <v>16</v>
      </c>
      <c r="E7" s="6" t="s">
        <v>91</v>
      </c>
      <c r="F7" s="7" t="n">
        <v>27695</v>
      </c>
      <c r="G7" s="7" t="n">
        <v>100</v>
      </c>
      <c r="H7" s="7" t="n">
        <v>100</v>
      </c>
      <c r="I7" s="7" t="n">
        <v>0</v>
      </c>
      <c r="J7" s="7" t="n">
        <v>10</v>
      </c>
      <c r="K7" s="5" t="s">
        <v>69</v>
      </c>
      <c r="L7" s="7" t="n">
        <v>6.5</v>
      </c>
      <c r="M7" s="7" t="n">
        <v>1.5</v>
      </c>
      <c r="N7" s="7" t="n">
        <v>14</v>
      </c>
      <c r="O7" s="7" t="n">
        <v>5</v>
      </c>
      <c r="P7" s="7" t="n">
        <v>1</v>
      </c>
      <c r="Q7" s="5" t="s">
        <v>75</v>
      </c>
      <c r="R7" s="7" t="n">
        <v>0</v>
      </c>
      <c r="S7" s="7" t="n">
        <v>1.75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5" t="s">
        <v>92</v>
      </c>
      <c r="AF7" s="7" t="n">
        <v>8</v>
      </c>
      <c r="AG7" s="7" t="n">
        <v>0</v>
      </c>
      <c r="AH7" s="7" t="n">
        <v>2</v>
      </c>
      <c r="AI7" s="7" t="n">
        <v>0</v>
      </c>
      <c r="AJ7" s="7" t="n">
        <v>0</v>
      </c>
      <c r="AK7" s="7" t="n">
        <v>0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0.5</v>
      </c>
      <c r="AR7" s="7" t="n">
        <v>0</v>
      </c>
      <c r="AS7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20"/>
    <col collapsed="false" customWidth="true" hidden="false" outlineLevel="0" max="7" min="7" style="1" width="60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5"/>
    <col collapsed="false" customWidth="true" hidden="false" outlineLevel="0" max="12" min="12" style="1" width="21"/>
    <col collapsed="false" customWidth="true" hidden="false" outlineLevel="0" max="14" min="13" style="1" width="22"/>
    <col collapsed="false" customWidth="true" hidden="false" outlineLevel="0" max="15" min="15" style="1" width="14"/>
    <col collapsed="false" customWidth="true" hidden="false" outlineLevel="0" max="16" min="16" style="1" width="22"/>
    <col collapsed="false" customWidth="true" hidden="false" outlineLevel="0" max="17" min="17" style="1" width="17"/>
    <col collapsed="false" customWidth="true" hidden="false" outlineLevel="0" max="18" min="18" style="1" width="15"/>
    <col collapsed="false" customWidth="true" hidden="false" outlineLevel="0" max="19" min="19" style="1" width="22"/>
    <col collapsed="false" customWidth="true" hidden="false" outlineLevel="0" max="20" min="20" style="1" width="16"/>
    <col collapsed="false" customWidth="true" hidden="false" outlineLevel="0" max="21" min="21" style="1" width="14"/>
    <col collapsed="false" customWidth="true" hidden="false" outlineLevel="0" max="22" min="22" style="1" width="19"/>
    <col collapsed="false" customWidth="true" hidden="false" outlineLevel="0" max="23" min="23" style="1" width="14"/>
    <col collapsed="false" customWidth="true" hidden="false" outlineLevel="0" max="24" min="24" style="1" width="13"/>
    <col collapsed="false" customWidth="true" hidden="false" outlineLevel="0" max="25" min="25" style="1" width="22"/>
    <col collapsed="false" customWidth="true" hidden="false" outlineLevel="0" max="26" min="26" style="1" width="13"/>
    <col collapsed="false" customWidth="true" hidden="false" outlineLevel="0" max="27" min="27" style="1" width="19"/>
    <col collapsed="false" customWidth="true" hidden="false" outlineLevel="0" max="29" min="28" style="1" width="18"/>
    <col collapsed="false" customWidth="true" hidden="false" outlineLevel="0" max="30" min="30" style="1" width="17"/>
    <col collapsed="false" customWidth="true" hidden="false" outlineLevel="0" max="31" min="31" style="1" width="22"/>
    <col collapsed="false" customWidth="true" hidden="false" outlineLevel="0" max="32" min="32" style="1" width="20"/>
    <col collapsed="false" customWidth="true" hidden="false" outlineLevel="0" max="33" min="33" style="1" width="22"/>
    <col collapsed="false" customWidth="true" hidden="false" outlineLevel="0" max="34" min="34" style="1" width="16"/>
    <col collapsed="false" customWidth="true" hidden="false" outlineLevel="0" max="35" min="35" style="1" width="24"/>
  </cols>
  <sheetData>
    <row r="1" customFormat="false" ht="42" hidden="false" customHeight="true" outlineLevel="0" collapsed="false">
      <c r="A1" s="4" t="s">
        <v>21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102</v>
      </c>
      <c r="L1" s="4" t="s">
        <v>103</v>
      </c>
      <c r="M1" s="4" t="s">
        <v>104</v>
      </c>
      <c r="N1" s="4" t="s">
        <v>105</v>
      </c>
      <c r="O1" s="4" t="s">
        <v>106</v>
      </c>
      <c r="P1" s="4" t="s">
        <v>107</v>
      </c>
      <c r="Q1" s="4" t="s">
        <v>108</v>
      </c>
      <c r="R1" s="4" t="s">
        <v>109</v>
      </c>
      <c r="S1" s="4" t="s">
        <v>36</v>
      </c>
      <c r="T1" s="4" t="s">
        <v>110</v>
      </c>
      <c r="U1" s="4" t="s">
        <v>111</v>
      </c>
      <c r="V1" s="4" t="s">
        <v>112</v>
      </c>
      <c r="W1" s="4" t="s">
        <v>113</v>
      </c>
      <c r="X1" s="4" t="s">
        <v>114</v>
      </c>
      <c r="Y1" s="4" t="s">
        <v>115</v>
      </c>
      <c r="Z1" s="4" t="s">
        <v>116</v>
      </c>
      <c r="AA1" s="4" t="s">
        <v>117</v>
      </c>
      <c r="AB1" s="4" t="s">
        <v>118</v>
      </c>
      <c r="AC1" s="4" t="s">
        <v>119</v>
      </c>
      <c r="AD1" s="4" t="s">
        <v>120</v>
      </c>
      <c r="AE1" s="4" t="s">
        <v>121</v>
      </c>
      <c r="AF1" s="4" t="s">
        <v>122</v>
      </c>
      <c r="AG1" s="4" t="s">
        <v>123</v>
      </c>
      <c r="AH1" s="4" t="s">
        <v>124</v>
      </c>
      <c r="AI1" s="4" t="s">
        <v>125</v>
      </c>
    </row>
    <row r="2" customFormat="false" ht="23.85" hidden="false" customHeight="false" outlineLevel="0" collapsed="false">
      <c r="A2" s="5" t="s">
        <v>66</v>
      </c>
      <c r="B2" s="7" t="n">
        <v>0</v>
      </c>
      <c r="C2" s="5" t="s">
        <v>126</v>
      </c>
      <c r="D2" s="7" t="n">
        <v>10</v>
      </c>
      <c r="E2" s="7" t="n">
        <v>2</v>
      </c>
      <c r="F2" s="5" t="s">
        <v>127</v>
      </c>
      <c r="G2" s="6" t="s">
        <v>128</v>
      </c>
      <c r="H2" s="7" t="n">
        <v>6</v>
      </c>
      <c r="I2" s="7" t="n">
        <v>22</v>
      </c>
      <c r="J2" s="7" t="n">
        <v>1</v>
      </c>
      <c r="K2" s="7" t="n">
        <v>0.4</v>
      </c>
      <c r="L2" s="7" t="n">
        <v>0</v>
      </c>
      <c r="M2" s="7" t="n">
        <v>0</v>
      </c>
      <c r="N2" s="7" t="n">
        <v>0</v>
      </c>
      <c r="O2" s="7" t="n">
        <v>20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6</v>
      </c>
      <c r="AE2" s="7" t="n">
        <v>0</v>
      </c>
      <c r="AF2" s="7" t="n">
        <v>0</v>
      </c>
      <c r="AG2" s="7" t="n">
        <v>0</v>
      </c>
      <c r="AH2" s="7" t="n">
        <v>0</v>
      </c>
      <c r="AI2" s="5" t="s">
        <v>129</v>
      </c>
    </row>
    <row r="3" customFormat="false" ht="46.25" hidden="false" customHeight="false" outlineLevel="0" collapsed="false">
      <c r="A3" s="5" t="s">
        <v>66</v>
      </c>
      <c r="B3" s="7" t="n">
        <v>0</v>
      </c>
      <c r="C3" s="5" t="s">
        <v>126</v>
      </c>
      <c r="D3" s="7" t="n">
        <v>10</v>
      </c>
      <c r="E3" s="7" t="n">
        <v>3</v>
      </c>
      <c r="F3" s="5" t="s">
        <v>130</v>
      </c>
      <c r="G3" s="6" t="s">
        <v>131</v>
      </c>
      <c r="H3" s="7" t="n">
        <v>14</v>
      </c>
      <c r="I3" s="7" t="n">
        <v>48</v>
      </c>
      <c r="J3" s="7" t="n">
        <v>2</v>
      </c>
      <c r="K3" s="7" t="n">
        <v>0.4</v>
      </c>
      <c r="L3" s="7" t="n">
        <v>0.1</v>
      </c>
      <c r="M3" s="7" t="n">
        <v>0.15</v>
      </c>
      <c r="N3" s="7" t="n">
        <v>0</v>
      </c>
      <c r="O3" s="7" t="n">
        <v>30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0.1</v>
      </c>
      <c r="AC3" s="7" t="n">
        <v>0.25</v>
      </c>
      <c r="AD3" s="7" t="n">
        <v>8</v>
      </c>
      <c r="AE3" s="7" t="n">
        <v>0</v>
      </c>
      <c r="AF3" s="7" t="n">
        <v>0</v>
      </c>
      <c r="AG3" s="7" t="n">
        <v>0</v>
      </c>
      <c r="AH3" s="7" t="n">
        <v>0</v>
      </c>
      <c r="AI3" s="5" t="s">
        <v>132</v>
      </c>
    </row>
    <row r="4" customFormat="false" ht="23.85" hidden="false" customHeight="false" outlineLevel="0" collapsed="false">
      <c r="A4" s="5" t="s">
        <v>66</v>
      </c>
      <c r="B4" s="7" t="n">
        <v>1</v>
      </c>
      <c r="C4" s="5" t="s">
        <v>133</v>
      </c>
      <c r="D4" s="7" t="n">
        <v>10</v>
      </c>
      <c r="E4" s="7" t="n">
        <v>2</v>
      </c>
      <c r="F4" s="5" t="s">
        <v>134</v>
      </c>
      <c r="G4" s="6" t="s">
        <v>135</v>
      </c>
      <c r="H4" s="7" t="n">
        <v>6</v>
      </c>
      <c r="I4" s="7" t="n">
        <v>24</v>
      </c>
      <c r="J4" s="7" t="n">
        <v>0</v>
      </c>
      <c r="K4" s="7" t="n">
        <v>0.3</v>
      </c>
      <c r="L4" s="7" t="n">
        <v>0</v>
      </c>
      <c r="M4" s="7" t="n">
        <v>0.1</v>
      </c>
      <c r="N4" s="7" t="n">
        <v>0</v>
      </c>
      <c r="O4" s="7" t="n">
        <v>15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0.1</v>
      </c>
      <c r="AF4" s="7" t="n">
        <v>0</v>
      </c>
      <c r="AG4" s="7" t="n">
        <v>0</v>
      </c>
      <c r="AH4" s="7" t="n">
        <v>0</v>
      </c>
      <c r="AI4" s="5" t="s">
        <v>136</v>
      </c>
    </row>
    <row r="5" customFormat="false" ht="23.85" hidden="false" customHeight="false" outlineLevel="0" collapsed="false">
      <c r="A5" s="5" t="s">
        <v>66</v>
      </c>
      <c r="B5" s="7" t="n">
        <v>1</v>
      </c>
      <c r="C5" s="5" t="s">
        <v>133</v>
      </c>
      <c r="D5" s="7" t="n">
        <v>10</v>
      </c>
      <c r="E5" s="7" t="n">
        <v>3</v>
      </c>
      <c r="F5" s="5" t="s">
        <v>137</v>
      </c>
      <c r="G5" s="6" t="s">
        <v>138</v>
      </c>
      <c r="H5" s="7" t="n">
        <v>14</v>
      </c>
      <c r="I5" s="7" t="n">
        <v>50</v>
      </c>
      <c r="J5" s="7" t="n">
        <v>1</v>
      </c>
      <c r="K5" s="7" t="n">
        <v>0</v>
      </c>
      <c r="L5" s="7" t="n">
        <v>0</v>
      </c>
      <c r="M5" s="7" t="n">
        <v>0.1</v>
      </c>
      <c r="N5" s="7" t="n">
        <v>0</v>
      </c>
      <c r="O5" s="7" t="n">
        <v>25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4</v>
      </c>
      <c r="AE5" s="7" t="n">
        <v>0.1</v>
      </c>
      <c r="AF5" s="7" t="n">
        <v>0</v>
      </c>
      <c r="AG5" s="7" t="n">
        <v>0</v>
      </c>
      <c r="AH5" s="7" t="n">
        <v>0</v>
      </c>
      <c r="AI5" s="5" t="s">
        <v>139</v>
      </c>
    </row>
    <row r="6" customFormat="false" ht="23.85" hidden="false" customHeight="false" outlineLevel="0" collapsed="false">
      <c r="A6" s="5" t="s">
        <v>66</v>
      </c>
      <c r="B6" s="7" t="n">
        <v>2</v>
      </c>
      <c r="C6" s="5" t="s">
        <v>140</v>
      </c>
      <c r="D6" s="7" t="n">
        <v>10</v>
      </c>
      <c r="E6" s="7" t="n">
        <v>2</v>
      </c>
      <c r="F6" s="5" t="s">
        <v>141</v>
      </c>
      <c r="G6" s="6" t="s">
        <v>142</v>
      </c>
      <c r="H6" s="7" t="n">
        <v>6</v>
      </c>
      <c r="I6" s="7" t="n">
        <v>22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80</v>
      </c>
      <c r="P6" s="7" t="n">
        <v>0.5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25</v>
      </c>
      <c r="AA6" s="7" t="n">
        <v>15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0.06</v>
      </c>
      <c r="AI6" s="5" t="s">
        <v>143</v>
      </c>
    </row>
    <row r="7" customFormat="false" ht="35.05" hidden="false" customHeight="false" outlineLevel="0" collapsed="false">
      <c r="A7" s="5" t="s">
        <v>66</v>
      </c>
      <c r="B7" s="7" t="n">
        <v>2</v>
      </c>
      <c r="C7" s="5" t="s">
        <v>140</v>
      </c>
      <c r="D7" s="7" t="n">
        <v>10</v>
      </c>
      <c r="E7" s="7" t="n">
        <v>3</v>
      </c>
      <c r="F7" s="5" t="s">
        <v>144</v>
      </c>
      <c r="G7" s="6" t="s">
        <v>145</v>
      </c>
      <c r="H7" s="7" t="n">
        <v>14</v>
      </c>
      <c r="I7" s="7" t="n">
        <v>46</v>
      </c>
      <c r="J7" s="7" t="n">
        <v>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160</v>
      </c>
      <c r="P7" s="7" t="n">
        <v>1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40</v>
      </c>
      <c r="AA7" s="7" t="n">
        <v>30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0.06</v>
      </c>
      <c r="AI7" s="5" t="s">
        <v>146</v>
      </c>
    </row>
    <row r="8" customFormat="false" ht="35.05" hidden="false" customHeight="false" outlineLevel="0" collapsed="false">
      <c r="A8" s="5" t="s">
        <v>72</v>
      </c>
      <c r="B8" s="7" t="n">
        <v>0</v>
      </c>
      <c r="C8" s="5" t="s">
        <v>147</v>
      </c>
      <c r="D8" s="7" t="n">
        <v>10</v>
      </c>
      <c r="E8" s="7" t="n">
        <v>2</v>
      </c>
      <c r="F8" s="5" t="s">
        <v>148</v>
      </c>
      <c r="G8" s="6" t="s">
        <v>149</v>
      </c>
      <c r="H8" s="7" t="n">
        <v>8</v>
      </c>
      <c r="I8" s="7" t="n">
        <v>26</v>
      </c>
      <c r="J8" s="7" t="n">
        <v>1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5</v>
      </c>
      <c r="AG8" s="7" t="n">
        <v>0</v>
      </c>
      <c r="AH8" s="7" t="n">
        <v>0</v>
      </c>
      <c r="AI8" s="5" t="s">
        <v>150</v>
      </c>
    </row>
    <row r="9" customFormat="false" ht="46.25" hidden="false" customHeight="false" outlineLevel="0" collapsed="false">
      <c r="A9" s="5" t="s">
        <v>72</v>
      </c>
      <c r="B9" s="7" t="n">
        <v>0</v>
      </c>
      <c r="C9" s="5" t="s">
        <v>147</v>
      </c>
      <c r="D9" s="7" t="n">
        <v>10</v>
      </c>
      <c r="E9" s="7" t="n">
        <v>3</v>
      </c>
      <c r="F9" s="5" t="s">
        <v>151</v>
      </c>
      <c r="G9" s="6" t="s">
        <v>152</v>
      </c>
      <c r="H9" s="7" t="n">
        <v>16</v>
      </c>
      <c r="I9" s="7" t="n">
        <v>55</v>
      </c>
      <c r="J9" s="7" t="n">
        <v>2</v>
      </c>
      <c r="K9" s="7" t="n">
        <v>0.3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5</v>
      </c>
      <c r="AG9" s="7" t="n">
        <v>0.15</v>
      </c>
      <c r="AH9" s="7" t="n">
        <v>0</v>
      </c>
      <c r="AI9" s="5" t="s">
        <v>153</v>
      </c>
    </row>
    <row r="10" customFormat="false" ht="35.05" hidden="false" customHeight="false" outlineLevel="0" collapsed="false">
      <c r="A10" s="5" t="s">
        <v>72</v>
      </c>
      <c r="B10" s="7" t="n">
        <v>1</v>
      </c>
      <c r="C10" s="5" t="s">
        <v>154</v>
      </c>
      <c r="D10" s="7" t="n">
        <v>10</v>
      </c>
      <c r="E10" s="7" t="n">
        <v>2</v>
      </c>
      <c r="F10" s="5" t="s">
        <v>155</v>
      </c>
      <c r="G10" s="6" t="s">
        <v>156</v>
      </c>
      <c r="H10" s="7" t="n">
        <v>8</v>
      </c>
      <c r="I10" s="7" t="n">
        <v>26</v>
      </c>
      <c r="J10" s="7" t="n">
        <v>0</v>
      </c>
      <c r="K10" s="7" t="n">
        <v>0</v>
      </c>
      <c r="L10" s="7" t="n">
        <v>0.1</v>
      </c>
      <c r="M10" s="7" t="n">
        <v>0.2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5" t="s">
        <v>157</v>
      </c>
    </row>
    <row r="11" customFormat="false" ht="35.05" hidden="false" customHeight="false" outlineLevel="0" collapsed="false">
      <c r="A11" s="5" t="s">
        <v>72</v>
      </c>
      <c r="B11" s="7" t="n">
        <v>1</v>
      </c>
      <c r="C11" s="5" t="s">
        <v>154</v>
      </c>
      <c r="D11" s="7" t="n">
        <v>10</v>
      </c>
      <c r="E11" s="7" t="n">
        <v>3</v>
      </c>
      <c r="F11" s="5" t="s">
        <v>158</v>
      </c>
      <c r="G11" s="6" t="s">
        <v>159</v>
      </c>
      <c r="H11" s="7" t="n">
        <v>16</v>
      </c>
      <c r="I11" s="7" t="n">
        <v>54</v>
      </c>
      <c r="J11" s="7" t="n">
        <v>1</v>
      </c>
      <c r="K11" s="7" t="n">
        <v>0</v>
      </c>
      <c r="L11" s="7" t="n">
        <v>0</v>
      </c>
      <c r="M11" s="7" t="n">
        <v>0.2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0.15</v>
      </c>
      <c r="AH11" s="7" t="n">
        <v>0</v>
      </c>
      <c r="AI11" s="5" t="s">
        <v>160</v>
      </c>
    </row>
    <row r="12" customFormat="false" ht="35.05" hidden="false" customHeight="false" outlineLevel="0" collapsed="false">
      <c r="A12" s="5" t="s">
        <v>72</v>
      </c>
      <c r="B12" s="7" t="n">
        <v>2</v>
      </c>
      <c r="C12" s="5" t="s">
        <v>161</v>
      </c>
      <c r="D12" s="7" t="n">
        <v>10</v>
      </c>
      <c r="E12" s="7" t="n">
        <v>2</v>
      </c>
      <c r="F12" s="5" t="s">
        <v>162</v>
      </c>
      <c r="G12" s="6" t="s">
        <v>163</v>
      </c>
      <c r="H12" s="7" t="n">
        <v>8</v>
      </c>
      <c r="I12" s="7" t="n">
        <v>28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30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5" t="s">
        <v>164</v>
      </c>
    </row>
    <row r="13" customFormat="false" ht="35.05" hidden="false" customHeight="false" outlineLevel="0" collapsed="false">
      <c r="A13" s="5" t="s">
        <v>72</v>
      </c>
      <c r="B13" s="7" t="n">
        <v>2</v>
      </c>
      <c r="C13" s="5" t="s">
        <v>161</v>
      </c>
      <c r="D13" s="7" t="n">
        <v>10</v>
      </c>
      <c r="E13" s="7" t="n">
        <v>3</v>
      </c>
      <c r="F13" s="5" t="s">
        <v>165</v>
      </c>
      <c r="G13" s="6" t="s">
        <v>166</v>
      </c>
      <c r="H13" s="7" t="n">
        <v>16</v>
      </c>
      <c r="I13" s="7" t="n">
        <v>56</v>
      </c>
      <c r="J13" s="7" t="n">
        <v>2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0.2</v>
      </c>
      <c r="AH13" s="7" t="n">
        <v>0</v>
      </c>
      <c r="AI13" s="5" t="s">
        <v>167</v>
      </c>
    </row>
    <row r="14" customFormat="false" ht="23.85" hidden="false" customHeight="false" outlineLevel="0" collapsed="false">
      <c r="A14" s="5" t="s">
        <v>77</v>
      </c>
      <c r="B14" s="7" t="n">
        <v>0</v>
      </c>
      <c r="C14" s="5" t="s">
        <v>168</v>
      </c>
      <c r="D14" s="7" t="n">
        <v>10</v>
      </c>
      <c r="E14" s="7" t="n">
        <v>2</v>
      </c>
      <c r="F14" s="5" t="s">
        <v>169</v>
      </c>
      <c r="G14" s="6" t="s">
        <v>170</v>
      </c>
      <c r="H14" s="7" t="n">
        <v>8</v>
      </c>
      <c r="I14" s="7" t="n">
        <v>24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8</v>
      </c>
      <c r="AE14" s="7" t="n">
        <v>0</v>
      </c>
      <c r="AF14" s="7" t="n">
        <v>0</v>
      </c>
      <c r="AG14" s="7" t="n">
        <v>0</v>
      </c>
      <c r="AH14" s="7" t="n">
        <v>0</v>
      </c>
      <c r="AI14" s="5" t="s">
        <v>171</v>
      </c>
    </row>
    <row r="15" customFormat="false" ht="23.85" hidden="false" customHeight="false" outlineLevel="0" collapsed="false">
      <c r="A15" s="5" t="s">
        <v>77</v>
      </c>
      <c r="B15" s="7" t="n">
        <v>0</v>
      </c>
      <c r="C15" s="5" t="s">
        <v>168</v>
      </c>
      <c r="D15" s="7" t="n">
        <v>10</v>
      </c>
      <c r="E15" s="7" t="n">
        <v>3</v>
      </c>
      <c r="F15" s="5" t="s">
        <v>172</v>
      </c>
      <c r="G15" s="6" t="s">
        <v>173</v>
      </c>
      <c r="H15" s="7" t="n">
        <v>16</v>
      </c>
      <c r="I15" s="7" t="n">
        <v>52</v>
      </c>
      <c r="J15" s="7" t="n">
        <v>1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0.15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5" t="s">
        <v>174</v>
      </c>
    </row>
    <row r="16" customFormat="false" ht="23.85" hidden="false" customHeight="false" outlineLevel="0" collapsed="false">
      <c r="A16" s="5" t="s">
        <v>77</v>
      </c>
      <c r="B16" s="7" t="n">
        <v>1</v>
      </c>
      <c r="C16" s="5" t="s">
        <v>175</v>
      </c>
      <c r="D16" s="7" t="n">
        <v>10</v>
      </c>
      <c r="E16" s="7" t="n">
        <v>2</v>
      </c>
      <c r="F16" s="5" t="s">
        <v>176</v>
      </c>
      <c r="G16" s="6" t="s">
        <v>177</v>
      </c>
      <c r="H16" s="7" t="n">
        <v>8</v>
      </c>
      <c r="I16" s="7" t="n">
        <v>24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40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0.1</v>
      </c>
      <c r="AI16" s="5" t="s">
        <v>178</v>
      </c>
    </row>
    <row r="17" customFormat="false" ht="23.85" hidden="false" customHeight="false" outlineLevel="0" collapsed="false">
      <c r="A17" s="5" t="s">
        <v>77</v>
      </c>
      <c r="B17" s="7" t="n">
        <v>1</v>
      </c>
      <c r="C17" s="5" t="s">
        <v>175</v>
      </c>
      <c r="D17" s="7" t="n">
        <v>10</v>
      </c>
      <c r="E17" s="7" t="n">
        <v>3</v>
      </c>
      <c r="F17" s="5" t="s">
        <v>179</v>
      </c>
      <c r="G17" s="6" t="s">
        <v>180</v>
      </c>
      <c r="H17" s="7" t="n">
        <v>16</v>
      </c>
      <c r="I17" s="7" t="n">
        <v>52</v>
      </c>
      <c r="J17" s="7" t="n">
        <v>2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120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0.1</v>
      </c>
      <c r="AI17" s="5" t="s">
        <v>181</v>
      </c>
    </row>
    <row r="18" customFormat="false" ht="23.85" hidden="false" customHeight="false" outlineLevel="0" collapsed="false">
      <c r="A18" s="5" t="s">
        <v>77</v>
      </c>
      <c r="B18" s="7" t="n">
        <v>2</v>
      </c>
      <c r="C18" s="5" t="s">
        <v>182</v>
      </c>
      <c r="D18" s="7" t="n">
        <v>10</v>
      </c>
      <c r="E18" s="7" t="n">
        <v>2</v>
      </c>
      <c r="F18" s="5" t="s">
        <v>183</v>
      </c>
      <c r="G18" s="6" t="s">
        <v>184</v>
      </c>
      <c r="H18" s="7" t="n">
        <v>8</v>
      </c>
      <c r="I18" s="7" t="n">
        <v>24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15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5" t="s">
        <v>185</v>
      </c>
    </row>
    <row r="19" customFormat="false" ht="35.05" hidden="false" customHeight="false" outlineLevel="0" collapsed="false">
      <c r="A19" s="5" t="s">
        <v>77</v>
      </c>
      <c r="B19" s="7" t="n">
        <v>2</v>
      </c>
      <c r="C19" s="5" t="s">
        <v>182</v>
      </c>
      <c r="D19" s="7" t="n">
        <v>10</v>
      </c>
      <c r="E19" s="7" t="n">
        <v>3</v>
      </c>
      <c r="F19" s="5" t="s">
        <v>186</v>
      </c>
      <c r="G19" s="6" t="s">
        <v>187</v>
      </c>
      <c r="H19" s="7" t="n">
        <v>16</v>
      </c>
      <c r="I19" s="7" t="n">
        <v>52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80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15</v>
      </c>
      <c r="AA19" s="7" t="n">
        <v>30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5" t="s">
        <v>188</v>
      </c>
    </row>
    <row r="20" customFormat="false" ht="35.05" hidden="false" customHeight="false" outlineLevel="0" collapsed="false">
      <c r="A20" s="5" t="s">
        <v>82</v>
      </c>
      <c r="B20" s="7" t="n">
        <v>0</v>
      </c>
      <c r="C20" s="5" t="s">
        <v>189</v>
      </c>
      <c r="D20" s="7" t="n">
        <v>10</v>
      </c>
      <c r="E20" s="7" t="n">
        <v>2</v>
      </c>
      <c r="F20" s="5" t="s">
        <v>190</v>
      </c>
      <c r="G20" s="6" t="s">
        <v>191</v>
      </c>
      <c r="H20" s="7" t="n">
        <v>8</v>
      </c>
      <c r="I20" s="7" t="n">
        <v>24</v>
      </c>
      <c r="J20" s="7" t="n">
        <v>0</v>
      </c>
      <c r="K20" s="7" t="n">
        <v>0.4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5" t="s">
        <v>192</v>
      </c>
    </row>
    <row r="21" customFormat="false" ht="35.05" hidden="false" customHeight="false" outlineLevel="0" collapsed="false">
      <c r="A21" s="5" t="s">
        <v>82</v>
      </c>
      <c r="B21" s="7" t="n">
        <v>0</v>
      </c>
      <c r="C21" s="5" t="s">
        <v>189</v>
      </c>
      <c r="D21" s="7" t="n">
        <v>10</v>
      </c>
      <c r="E21" s="7" t="n">
        <v>3</v>
      </c>
      <c r="F21" s="5" t="s">
        <v>193</v>
      </c>
      <c r="G21" s="6" t="s">
        <v>194</v>
      </c>
      <c r="H21" s="7" t="n">
        <v>16</v>
      </c>
      <c r="I21" s="7" t="n">
        <v>52</v>
      </c>
      <c r="J21" s="7" t="n">
        <v>2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0.1</v>
      </c>
      <c r="AF21" s="7" t="n">
        <v>0</v>
      </c>
      <c r="AG21" s="7" t="n">
        <v>0</v>
      </c>
      <c r="AH21" s="7" t="n">
        <v>0</v>
      </c>
      <c r="AI21" s="5" t="s">
        <v>195</v>
      </c>
    </row>
    <row r="22" customFormat="false" ht="23.85" hidden="false" customHeight="false" outlineLevel="0" collapsed="false">
      <c r="A22" s="5" t="s">
        <v>82</v>
      </c>
      <c r="B22" s="7" t="n">
        <v>1</v>
      </c>
      <c r="C22" s="5" t="s">
        <v>196</v>
      </c>
      <c r="D22" s="7" t="n">
        <v>10</v>
      </c>
      <c r="E22" s="7" t="n">
        <v>2</v>
      </c>
      <c r="F22" s="5" t="s">
        <v>197</v>
      </c>
      <c r="G22" s="6" t="s">
        <v>198</v>
      </c>
      <c r="H22" s="7" t="n">
        <v>8</v>
      </c>
      <c r="I22" s="7" t="n">
        <v>26</v>
      </c>
      <c r="J22" s="7" t="n">
        <v>2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5" t="s">
        <v>199</v>
      </c>
    </row>
    <row r="23" customFormat="false" ht="35.05" hidden="false" customHeight="false" outlineLevel="0" collapsed="false">
      <c r="A23" s="5" t="s">
        <v>82</v>
      </c>
      <c r="B23" s="7" t="n">
        <v>1</v>
      </c>
      <c r="C23" s="5" t="s">
        <v>196</v>
      </c>
      <c r="D23" s="7" t="n">
        <v>10</v>
      </c>
      <c r="E23" s="7" t="n">
        <v>3</v>
      </c>
      <c r="F23" s="5" t="s">
        <v>200</v>
      </c>
      <c r="G23" s="6" t="s">
        <v>201</v>
      </c>
      <c r="H23" s="7" t="n">
        <v>16</v>
      </c>
      <c r="I23" s="7" t="n">
        <v>54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15</v>
      </c>
      <c r="AE23" s="7" t="n">
        <v>0</v>
      </c>
      <c r="AF23" s="7" t="n">
        <v>0</v>
      </c>
      <c r="AG23" s="7" t="n">
        <v>0</v>
      </c>
      <c r="AH23" s="7" t="n">
        <v>0</v>
      </c>
      <c r="AI23" s="5" t="s">
        <v>202</v>
      </c>
    </row>
    <row r="24" customFormat="false" ht="23.85" hidden="false" customHeight="false" outlineLevel="0" collapsed="false">
      <c r="A24" s="5" t="s">
        <v>82</v>
      </c>
      <c r="B24" s="7" t="n">
        <v>2</v>
      </c>
      <c r="C24" s="5" t="s">
        <v>203</v>
      </c>
      <c r="D24" s="7" t="n">
        <v>10</v>
      </c>
      <c r="E24" s="7" t="n">
        <v>2</v>
      </c>
      <c r="F24" s="5" t="s">
        <v>204</v>
      </c>
      <c r="G24" s="6" t="s">
        <v>205</v>
      </c>
      <c r="H24" s="7" t="n">
        <v>8</v>
      </c>
      <c r="I24" s="7" t="n">
        <v>26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0.05</v>
      </c>
      <c r="R24" s="7" t="n">
        <v>0</v>
      </c>
      <c r="S24" s="7" t="n">
        <v>0</v>
      </c>
      <c r="T24" s="7" t="n">
        <v>0.15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5" t="s">
        <v>206</v>
      </c>
    </row>
    <row r="25" customFormat="false" ht="46.25" hidden="false" customHeight="false" outlineLevel="0" collapsed="false">
      <c r="A25" s="5" t="s">
        <v>82</v>
      </c>
      <c r="B25" s="7" t="n">
        <v>2</v>
      </c>
      <c r="C25" s="5" t="s">
        <v>203</v>
      </c>
      <c r="D25" s="7" t="n">
        <v>10</v>
      </c>
      <c r="E25" s="7" t="n">
        <v>3</v>
      </c>
      <c r="F25" s="5" t="s">
        <v>207</v>
      </c>
      <c r="G25" s="6" t="s">
        <v>208</v>
      </c>
      <c r="H25" s="7" t="n">
        <v>16</v>
      </c>
      <c r="I25" s="7" t="n">
        <v>54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60</v>
      </c>
      <c r="P25" s="7" t="n">
        <v>0</v>
      </c>
      <c r="Q25" s="7" t="n">
        <v>0.05</v>
      </c>
      <c r="R25" s="7" t="n">
        <v>0.05</v>
      </c>
      <c r="S25" s="7" t="n">
        <v>0.05</v>
      </c>
      <c r="T25" s="7" t="n">
        <v>0.1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5" t="s">
        <v>209</v>
      </c>
    </row>
    <row r="26" customFormat="false" ht="23.85" hidden="false" customHeight="false" outlineLevel="0" collapsed="false">
      <c r="A26" s="5" t="s">
        <v>86</v>
      </c>
      <c r="B26" s="7" t="n">
        <v>0</v>
      </c>
      <c r="C26" s="5" t="s">
        <v>210</v>
      </c>
      <c r="D26" s="7" t="n">
        <v>10</v>
      </c>
      <c r="E26" s="7" t="n">
        <v>2</v>
      </c>
      <c r="F26" s="5" t="s">
        <v>211</v>
      </c>
      <c r="G26" s="6" t="s">
        <v>212</v>
      </c>
      <c r="H26" s="7" t="n">
        <v>8</v>
      </c>
      <c r="I26" s="7" t="n">
        <v>26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20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5" t="s">
        <v>213</v>
      </c>
    </row>
    <row r="27" customFormat="false" ht="35.05" hidden="false" customHeight="false" outlineLevel="0" collapsed="false">
      <c r="A27" s="5" t="s">
        <v>86</v>
      </c>
      <c r="B27" s="7" t="n">
        <v>0</v>
      </c>
      <c r="C27" s="5" t="s">
        <v>210</v>
      </c>
      <c r="D27" s="7" t="n">
        <v>10</v>
      </c>
      <c r="E27" s="7" t="n">
        <v>3</v>
      </c>
      <c r="F27" s="5" t="s">
        <v>214</v>
      </c>
      <c r="G27" s="6" t="s">
        <v>215</v>
      </c>
      <c r="H27" s="7" t="n">
        <v>16</v>
      </c>
      <c r="I27" s="7" t="n">
        <v>56</v>
      </c>
      <c r="J27" s="7" t="n">
        <v>1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0.15</v>
      </c>
      <c r="AH27" s="7" t="n">
        <v>0</v>
      </c>
      <c r="AI27" s="5" t="s">
        <v>216</v>
      </c>
    </row>
    <row r="28" customFormat="false" ht="23.85" hidden="false" customHeight="false" outlineLevel="0" collapsed="false">
      <c r="A28" s="5" t="s">
        <v>86</v>
      </c>
      <c r="B28" s="7" t="n">
        <v>1</v>
      </c>
      <c r="C28" s="5" t="s">
        <v>217</v>
      </c>
      <c r="D28" s="7" t="n">
        <v>10</v>
      </c>
      <c r="E28" s="7" t="n">
        <v>2</v>
      </c>
      <c r="F28" s="5" t="s">
        <v>218</v>
      </c>
      <c r="G28" s="6" t="s">
        <v>219</v>
      </c>
      <c r="H28" s="7" t="n">
        <v>8</v>
      </c>
      <c r="I28" s="7" t="n">
        <v>26</v>
      </c>
      <c r="J28" s="7" t="n">
        <v>0</v>
      </c>
      <c r="K28" s="7" t="n">
        <v>0</v>
      </c>
      <c r="L28" s="7" t="n">
        <v>0</v>
      </c>
      <c r="M28" s="7" t="n">
        <v>0.1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0.15</v>
      </c>
      <c r="AC28" s="7" t="n">
        <v>0</v>
      </c>
      <c r="AD28" s="7" t="n">
        <v>0</v>
      </c>
      <c r="AE28" s="7" t="n">
        <v>0</v>
      </c>
      <c r="AF28" s="7" t="n">
        <v>12</v>
      </c>
      <c r="AG28" s="7" t="n">
        <v>0</v>
      </c>
      <c r="AH28" s="7" t="n">
        <v>0</v>
      </c>
      <c r="AI28" s="5" t="s">
        <v>220</v>
      </c>
    </row>
    <row r="29" customFormat="false" ht="23.85" hidden="false" customHeight="false" outlineLevel="0" collapsed="false">
      <c r="A29" s="5" t="s">
        <v>86</v>
      </c>
      <c r="B29" s="7" t="n">
        <v>1</v>
      </c>
      <c r="C29" s="5" t="s">
        <v>217</v>
      </c>
      <c r="D29" s="7" t="n">
        <v>10</v>
      </c>
      <c r="E29" s="7" t="n">
        <v>3</v>
      </c>
      <c r="F29" s="5" t="s">
        <v>221</v>
      </c>
      <c r="G29" s="6" t="s">
        <v>222</v>
      </c>
      <c r="H29" s="7" t="n">
        <v>16</v>
      </c>
      <c r="I29" s="7" t="n">
        <v>56</v>
      </c>
      <c r="J29" s="7" t="n">
        <v>2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0.1</v>
      </c>
      <c r="AC29" s="7" t="n">
        <v>0.5</v>
      </c>
      <c r="AD29" s="7" t="n">
        <v>0</v>
      </c>
      <c r="AE29" s="7" t="n">
        <v>0</v>
      </c>
      <c r="AF29" s="7" t="n">
        <v>10</v>
      </c>
      <c r="AG29" s="7" t="n">
        <v>0</v>
      </c>
      <c r="AH29" s="7" t="n">
        <v>0</v>
      </c>
      <c r="AI29" s="5" t="s">
        <v>223</v>
      </c>
    </row>
    <row r="30" customFormat="false" ht="15" hidden="false" customHeight="false" outlineLevel="0" collapsed="false">
      <c r="A30" s="5" t="s">
        <v>86</v>
      </c>
      <c r="B30" s="7" t="n">
        <v>2</v>
      </c>
      <c r="C30" s="5" t="s">
        <v>224</v>
      </c>
      <c r="D30" s="7" t="n">
        <v>10</v>
      </c>
      <c r="E30" s="7" t="n">
        <v>2</v>
      </c>
      <c r="F30" s="5" t="s">
        <v>225</v>
      </c>
      <c r="G30" s="6" t="s">
        <v>226</v>
      </c>
      <c r="H30" s="7" t="n">
        <v>8</v>
      </c>
      <c r="I30" s="7" t="n">
        <v>26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200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10</v>
      </c>
      <c r="AA30" s="7" t="n">
        <v>30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5" t="s">
        <v>227</v>
      </c>
    </row>
    <row r="31" customFormat="false" ht="23.85" hidden="false" customHeight="false" outlineLevel="0" collapsed="false">
      <c r="A31" s="5" t="s">
        <v>86</v>
      </c>
      <c r="B31" s="7" t="n">
        <v>2</v>
      </c>
      <c r="C31" s="5" t="s">
        <v>224</v>
      </c>
      <c r="D31" s="7" t="n">
        <v>10</v>
      </c>
      <c r="E31" s="7" t="n">
        <v>3</v>
      </c>
      <c r="F31" s="5" t="s">
        <v>228</v>
      </c>
      <c r="G31" s="6" t="s">
        <v>229</v>
      </c>
      <c r="H31" s="7" t="n">
        <v>16</v>
      </c>
      <c r="I31" s="7" t="n">
        <v>56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250</v>
      </c>
      <c r="P31" s="7" t="n">
        <v>2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30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0.06</v>
      </c>
      <c r="AI31" s="5" t="s">
        <v>230</v>
      </c>
    </row>
    <row r="32" customFormat="false" ht="23.85" hidden="false" customHeight="false" outlineLevel="0" collapsed="false">
      <c r="A32" s="5" t="s">
        <v>89</v>
      </c>
      <c r="B32" s="7" t="n">
        <v>0</v>
      </c>
      <c r="C32" s="5" t="s">
        <v>231</v>
      </c>
      <c r="D32" s="7" t="n">
        <v>10</v>
      </c>
      <c r="E32" s="7" t="n">
        <v>2</v>
      </c>
      <c r="F32" s="5" t="s">
        <v>232</v>
      </c>
      <c r="G32" s="6" t="s">
        <v>233</v>
      </c>
      <c r="H32" s="7" t="n">
        <v>8</v>
      </c>
      <c r="I32" s="7" t="n">
        <v>28</v>
      </c>
      <c r="J32" s="7" t="n">
        <v>4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5" t="s">
        <v>234</v>
      </c>
    </row>
    <row r="33" customFormat="false" ht="23.85" hidden="false" customHeight="false" outlineLevel="0" collapsed="false">
      <c r="A33" s="5" t="s">
        <v>89</v>
      </c>
      <c r="B33" s="7" t="n">
        <v>0</v>
      </c>
      <c r="C33" s="5" t="s">
        <v>231</v>
      </c>
      <c r="D33" s="7" t="n">
        <v>10</v>
      </c>
      <c r="E33" s="7" t="n">
        <v>3</v>
      </c>
      <c r="F33" s="5" t="s">
        <v>235</v>
      </c>
      <c r="G33" s="6" t="s">
        <v>236</v>
      </c>
      <c r="H33" s="7" t="n">
        <v>16</v>
      </c>
      <c r="I33" s="7" t="n">
        <v>58</v>
      </c>
      <c r="J33" s="7" t="n">
        <v>8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5</v>
      </c>
      <c r="AG33" s="7" t="n">
        <v>0.2</v>
      </c>
      <c r="AH33" s="7" t="n">
        <v>0</v>
      </c>
      <c r="AI33" s="5" t="s">
        <v>237</v>
      </c>
    </row>
    <row r="34" customFormat="false" ht="23.85" hidden="false" customHeight="false" outlineLevel="0" collapsed="false">
      <c r="A34" s="5" t="s">
        <v>89</v>
      </c>
      <c r="B34" s="7" t="n">
        <v>1</v>
      </c>
      <c r="C34" s="5" t="s">
        <v>238</v>
      </c>
      <c r="D34" s="7" t="n">
        <v>10</v>
      </c>
      <c r="E34" s="7" t="n">
        <v>2</v>
      </c>
      <c r="F34" s="5" t="s">
        <v>239</v>
      </c>
      <c r="G34" s="6" t="s">
        <v>240</v>
      </c>
      <c r="H34" s="7" t="n">
        <v>8</v>
      </c>
      <c r="I34" s="7" t="n">
        <v>28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30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5" t="s">
        <v>241</v>
      </c>
    </row>
    <row r="35" customFormat="false" ht="23.85" hidden="false" customHeight="false" outlineLevel="0" collapsed="false">
      <c r="A35" s="5" t="s">
        <v>89</v>
      </c>
      <c r="B35" s="7" t="n">
        <v>1</v>
      </c>
      <c r="C35" s="5" t="s">
        <v>238</v>
      </c>
      <c r="D35" s="7" t="n">
        <v>10</v>
      </c>
      <c r="E35" s="7" t="n">
        <v>3</v>
      </c>
      <c r="F35" s="5" t="s">
        <v>242</v>
      </c>
      <c r="G35" s="6" t="s">
        <v>243</v>
      </c>
      <c r="H35" s="7" t="n">
        <v>16</v>
      </c>
      <c r="I35" s="7" t="n">
        <v>58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250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15</v>
      </c>
      <c r="AA35" s="7" t="n">
        <v>35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5" t="s">
        <v>244</v>
      </c>
    </row>
    <row r="36" customFormat="false" ht="15" hidden="false" customHeight="false" outlineLevel="0" collapsed="false">
      <c r="A36" s="5" t="s">
        <v>89</v>
      </c>
      <c r="B36" s="7" t="n">
        <v>2</v>
      </c>
      <c r="C36" s="5" t="s">
        <v>245</v>
      </c>
      <c r="D36" s="7" t="n">
        <v>10</v>
      </c>
      <c r="E36" s="7" t="n">
        <v>2</v>
      </c>
      <c r="F36" s="5" t="s">
        <v>246</v>
      </c>
      <c r="G36" s="6" t="s">
        <v>247</v>
      </c>
      <c r="H36" s="7" t="n">
        <v>8</v>
      </c>
      <c r="I36" s="7" t="n">
        <v>28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1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0.06</v>
      </c>
      <c r="AI36" s="5" t="s">
        <v>248</v>
      </c>
    </row>
    <row r="37" customFormat="false" ht="35.05" hidden="false" customHeight="false" outlineLevel="0" collapsed="false">
      <c r="A37" s="5" t="s">
        <v>89</v>
      </c>
      <c r="B37" s="7" t="n">
        <v>2</v>
      </c>
      <c r="C37" s="5" t="s">
        <v>245</v>
      </c>
      <c r="D37" s="7" t="n">
        <v>10</v>
      </c>
      <c r="E37" s="7" t="n">
        <v>3</v>
      </c>
      <c r="F37" s="5" t="s">
        <v>249</v>
      </c>
      <c r="G37" s="6" t="s">
        <v>250</v>
      </c>
      <c r="H37" s="7" t="n">
        <v>16</v>
      </c>
      <c r="I37" s="7" t="n">
        <v>58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100</v>
      </c>
      <c r="P37" s="7" t="n">
        <v>2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0.06</v>
      </c>
      <c r="AI37" s="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2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8"/>
    <col collapsed="false" customWidth="true" hidden="false" outlineLevel="0" max="10" min="9" style="1" width="11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20" min="14" style="1" width="22"/>
    <col collapsed="false" customWidth="true" hidden="false" outlineLevel="0" max="21" min="21" style="1" width="21"/>
    <col collapsed="false" customWidth="true" hidden="false" outlineLevel="0" max="23" min="22" style="1" width="22"/>
    <col collapsed="false" customWidth="true" hidden="false" outlineLevel="0" max="24" min="24" style="1" width="11"/>
    <col collapsed="false" customWidth="true" hidden="false" outlineLevel="0" max="26" min="25" style="1" width="13"/>
    <col collapsed="false" customWidth="true" hidden="false" outlineLevel="0" max="27" min="27" style="1" width="18"/>
    <col collapsed="false" customWidth="true" hidden="false" outlineLevel="0" max="28" min="28" style="1" width="13"/>
    <col collapsed="false" customWidth="true" hidden="false" outlineLevel="0" max="29" min="29" style="1" width="12"/>
    <col collapsed="false" customWidth="true" hidden="false" outlineLevel="0" max="30" min="30" style="1" width="20"/>
    <col collapsed="false" customWidth="true" hidden="false" outlineLevel="0" max="31" min="31" style="1" width="13"/>
    <col collapsed="false" customWidth="true" hidden="false" outlineLevel="0" max="33" min="32" style="1" width="19"/>
    <col collapsed="false" customWidth="true" hidden="false" outlineLevel="0" max="34" min="34" style="1" width="15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22"/>
    <col collapsed="false" customWidth="true" hidden="false" outlineLevel="0" max="38" min="38" style="1" width="17"/>
    <col collapsed="false" customWidth="true" hidden="false" outlineLevel="0" max="39" min="39" style="1" width="13"/>
    <col collapsed="false" customWidth="true" hidden="false" outlineLevel="0" max="44" min="40" style="1" width="17"/>
    <col collapsed="false" customWidth="true" hidden="false" outlineLevel="0" max="45" min="45" style="1" width="30"/>
  </cols>
  <sheetData>
    <row r="1" customFormat="false" ht="42" hidden="false" customHeight="true" outlineLevel="0" collapsed="false">
      <c r="A1" s="4" t="s">
        <v>252</v>
      </c>
      <c r="B1" s="4" t="s">
        <v>21</v>
      </c>
      <c r="C1" s="4" t="s">
        <v>253</v>
      </c>
      <c r="D1" s="4" t="s">
        <v>254</v>
      </c>
      <c r="E1" s="4" t="s">
        <v>255</v>
      </c>
      <c r="F1" s="4" t="s">
        <v>256</v>
      </c>
      <c r="G1" s="4" t="s">
        <v>257</v>
      </c>
      <c r="H1" s="4" t="s">
        <v>258</v>
      </c>
      <c r="I1" s="4" t="s">
        <v>259</v>
      </c>
      <c r="J1" s="4" t="s">
        <v>260</v>
      </c>
      <c r="K1" s="4" t="s">
        <v>261</v>
      </c>
      <c r="L1" s="4" t="s">
        <v>262</v>
      </c>
      <c r="M1" s="4" t="s">
        <v>263</v>
      </c>
      <c r="N1" s="4" t="s">
        <v>264</v>
      </c>
      <c r="O1" s="4" t="s">
        <v>265</v>
      </c>
      <c r="P1" s="4" t="s">
        <v>266</v>
      </c>
      <c r="Q1" s="4" t="s">
        <v>267</v>
      </c>
      <c r="R1" s="4" t="s">
        <v>268</v>
      </c>
      <c r="S1" s="4" t="s">
        <v>269</v>
      </c>
      <c r="T1" s="4" t="s">
        <v>270</v>
      </c>
      <c r="U1" s="4" t="s">
        <v>271</v>
      </c>
      <c r="V1" s="4" t="s">
        <v>272</v>
      </c>
      <c r="W1" s="4" t="s">
        <v>273</v>
      </c>
      <c r="X1" s="4" t="s">
        <v>274</v>
      </c>
      <c r="Y1" s="4" t="s">
        <v>275</v>
      </c>
      <c r="Z1" s="4" t="s">
        <v>276</v>
      </c>
      <c r="AA1" s="4" t="s">
        <v>277</v>
      </c>
      <c r="AB1" s="4" t="s">
        <v>278</v>
      </c>
      <c r="AC1" s="4" t="s">
        <v>279</v>
      </c>
      <c r="AD1" s="4" t="s">
        <v>280</v>
      </c>
      <c r="AE1" s="4" t="s">
        <v>281</v>
      </c>
      <c r="AF1" s="4" t="s">
        <v>282</v>
      </c>
      <c r="AG1" s="4" t="s">
        <v>283</v>
      </c>
      <c r="AH1" s="4" t="s">
        <v>284</v>
      </c>
      <c r="AI1" s="4" t="s">
        <v>285</v>
      </c>
      <c r="AJ1" s="4" t="s">
        <v>286</v>
      </c>
      <c r="AK1" s="4" t="s">
        <v>287</v>
      </c>
      <c r="AL1" s="4" t="s">
        <v>288</v>
      </c>
      <c r="AM1" s="4" t="s">
        <v>289</v>
      </c>
      <c r="AN1" s="4" t="s">
        <v>290</v>
      </c>
      <c r="AO1" s="4" t="s">
        <v>291</v>
      </c>
      <c r="AP1" s="4" t="s">
        <v>292</v>
      </c>
      <c r="AQ1" s="4" t="s">
        <v>293</v>
      </c>
      <c r="AR1" s="4" t="s">
        <v>294</v>
      </c>
      <c r="AS1" s="4" t="s">
        <v>295</v>
      </c>
    </row>
    <row r="2" customFormat="false" ht="15" hidden="false" customHeight="false" outlineLevel="0" collapsed="false">
      <c r="A2" s="5" t="s">
        <v>71</v>
      </c>
      <c r="B2" s="5" t="s">
        <v>66</v>
      </c>
      <c r="C2" s="7" t="n">
        <v>0</v>
      </c>
      <c r="D2" s="7" t="n">
        <v>0</v>
      </c>
      <c r="E2" s="5" t="s">
        <v>296</v>
      </c>
      <c r="F2" s="5" t="s">
        <v>69</v>
      </c>
      <c r="G2" s="5" t="s">
        <v>296</v>
      </c>
      <c r="H2" s="7" t="n">
        <v>1</v>
      </c>
      <c r="I2" s="7" t="n">
        <v>9</v>
      </c>
      <c r="J2" s="7" t="n">
        <v>360</v>
      </c>
      <c r="K2" s="7" t="n">
        <v>90</v>
      </c>
      <c r="L2" s="5" t="s">
        <v>297</v>
      </c>
      <c r="M2" s="5" t="s">
        <v>298</v>
      </c>
      <c r="N2" s="7" t="n">
        <v>0</v>
      </c>
      <c r="O2" s="7" t="n">
        <v>3</v>
      </c>
      <c r="P2" s="7" t="n">
        <v>0</v>
      </c>
      <c r="Q2" s="7" t="n">
        <v>0</v>
      </c>
      <c r="R2" s="7" t="n">
        <v>0</v>
      </c>
      <c r="S2" s="7" t="n">
        <v>4</v>
      </c>
      <c r="T2" s="7" t="n">
        <v>3</v>
      </c>
      <c r="U2" s="5" t="s">
        <v>299</v>
      </c>
      <c r="V2" s="7" t="n">
        <v>0.15</v>
      </c>
      <c r="W2" s="7" t="n">
        <v>1.5</v>
      </c>
      <c r="X2" s="7" t="n">
        <v>1.5</v>
      </c>
      <c r="Y2" s="7" t="n">
        <v>3</v>
      </c>
      <c r="Z2" s="7" t="n">
        <v>0.5</v>
      </c>
      <c r="AA2" s="7" t="n">
        <v>5</v>
      </c>
      <c r="AB2" s="7" t="n">
        <v>10</v>
      </c>
      <c r="AC2" s="7" t="n">
        <v>3</v>
      </c>
      <c r="AD2" s="7" t="n">
        <v>0.2</v>
      </c>
      <c r="AE2" s="7" t="n">
        <v>3</v>
      </c>
      <c r="AF2" s="7" t="n">
        <v>1.5</v>
      </c>
      <c r="AG2" s="7" t="n">
        <v>0.2</v>
      </c>
      <c r="AH2" s="7" t="n">
        <v>5</v>
      </c>
      <c r="AI2" s="7" t="n">
        <v>10</v>
      </c>
      <c r="AJ2" s="7" t="n">
        <v>5</v>
      </c>
      <c r="AK2" s="7" t="n">
        <v>2</v>
      </c>
      <c r="AL2" s="7" t="n">
        <v>3</v>
      </c>
      <c r="AM2" s="7" t="n">
        <v>2</v>
      </c>
      <c r="AN2" s="7" t="n">
        <v>1.5</v>
      </c>
      <c r="AO2" s="7" t="n">
        <v>5</v>
      </c>
      <c r="AP2" s="7" t="n">
        <v>4</v>
      </c>
      <c r="AQ2" s="7" t="n">
        <v>0.4</v>
      </c>
      <c r="AR2" s="7" t="n">
        <v>5</v>
      </c>
      <c r="AS2" s="5"/>
    </row>
    <row r="3" customFormat="false" ht="15" hidden="false" customHeight="false" outlineLevel="0" collapsed="false">
      <c r="A3" s="5" t="s">
        <v>129</v>
      </c>
      <c r="B3" s="5" t="s">
        <v>66</v>
      </c>
      <c r="C3" s="7" t="n">
        <v>0</v>
      </c>
      <c r="D3" s="7" t="n">
        <v>0</v>
      </c>
      <c r="E3" s="5" t="s">
        <v>296</v>
      </c>
      <c r="F3" s="5" t="s">
        <v>69</v>
      </c>
      <c r="G3" s="5" t="s">
        <v>296</v>
      </c>
      <c r="H3" s="7" t="n">
        <v>3</v>
      </c>
      <c r="I3" s="7" t="n">
        <v>9</v>
      </c>
      <c r="J3" s="7" t="n">
        <v>360</v>
      </c>
      <c r="K3" s="7" t="n">
        <v>90</v>
      </c>
      <c r="L3" s="5" t="s">
        <v>297</v>
      </c>
      <c r="M3" s="5" t="s">
        <v>298</v>
      </c>
      <c r="N3" s="7" t="n">
        <v>0</v>
      </c>
      <c r="O3" s="7" t="n">
        <v>3</v>
      </c>
      <c r="P3" s="7" t="n">
        <v>0</v>
      </c>
      <c r="Q3" s="7" t="n">
        <v>0</v>
      </c>
      <c r="R3" s="7" t="n">
        <v>0</v>
      </c>
      <c r="S3" s="7" t="n">
        <v>4</v>
      </c>
      <c r="T3" s="7" t="n">
        <v>3</v>
      </c>
      <c r="U3" s="5" t="s">
        <v>299</v>
      </c>
      <c r="V3" s="7" t="n">
        <v>0.15</v>
      </c>
      <c r="W3" s="7" t="n">
        <v>1.5</v>
      </c>
      <c r="X3" s="7" t="n">
        <v>1.5</v>
      </c>
      <c r="Y3" s="7" t="n">
        <v>3</v>
      </c>
      <c r="Z3" s="7" t="n">
        <v>0.5</v>
      </c>
      <c r="AA3" s="7" t="n">
        <v>5</v>
      </c>
      <c r="AB3" s="7" t="n">
        <v>10</v>
      </c>
      <c r="AC3" s="7" t="n">
        <v>3</v>
      </c>
      <c r="AD3" s="7" t="n">
        <v>0.2</v>
      </c>
      <c r="AE3" s="7" t="n">
        <v>3</v>
      </c>
      <c r="AF3" s="7" t="n">
        <v>1.5</v>
      </c>
      <c r="AG3" s="7" t="n">
        <v>0.2</v>
      </c>
      <c r="AH3" s="7" t="n">
        <v>5</v>
      </c>
      <c r="AI3" s="7" t="n">
        <v>10</v>
      </c>
      <c r="AJ3" s="7" t="n">
        <v>5</v>
      </c>
      <c r="AK3" s="7" t="n">
        <v>2</v>
      </c>
      <c r="AL3" s="7" t="n">
        <v>3</v>
      </c>
      <c r="AM3" s="7" t="n">
        <v>2</v>
      </c>
      <c r="AN3" s="7" t="n">
        <v>1.5</v>
      </c>
      <c r="AO3" s="7" t="n">
        <v>5</v>
      </c>
      <c r="AP3" s="7" t="n">
        <v>4</v>
      </c>
      <c r="AQ3" s="7" t="n">
        <v>0.4</v>
      </c>
      <c r="AR3" s="7" t="n">
        <v>5</v>
      </c>
      <c r="AS3" s="5"/>
    </row>
    <row r="4" customFormat="false" ht="15" hidden="false" customHeight="false" outlineLevel="0" collapsed="false">
      <c r="A4" s="5" t="s">
        <v>132</v>
      </c>
      <c r="B4" s="5" t="s">
        <v>66</v>
      </c>
      <c r="C4" s="7" t="n">
        <v>0</v>
      </c>
      <c r="D4" s="7" t="n">
        <v>0</v>
      </c>
      <c r="E4" s="5" t="s">
        <v>296</v>
      </c>
      <c r="F4" s="5" t="s">
        <v>69</v>
      </c>
      <c r="G4" s="5" t="s">
        <v>296</v>
      </c>
      <c r="H4" s="7" t="n">
        <v>6</v>
      </c>
      <c r="I4" s="7" t="n">
        <v>9</v>
      </c>
      <c r="J4" s="7" t="n">
        <v>360</v>
      </c>
      <c r="K4" s="7" t="n">
        <v>90</v>
      </c>
      <c r="L4" s="5" t="s">
        <v>297</v>
      </c>
      <c r="M4" s="5" t="s">
        <v>298</v>
      </c>
      <c r="N4" s="7" t="n">
        <v>0</v>
      </c>
      <c r="O4" s="7" t="n">
        <v>3</v>
      </c>
      <c r="P4" s="7" t="n">
        <v>0</v>
      </c>
      <c r="Q4" s="7" t="n">
        <v>0</v>
      </c>
      <c r="R4" s="7" t="n">
        <v>0</v>
      </c>
      <c r="S4" s="7" t="n">
        <v>4</v>
      </c>
      <c r="T4" s="7" t="n">
        <v>3</v>
      </c>
      <c r="U4" s="5" t="s">
        <v>299</v>
      </c>
      <c r="V4" s="7" t="n">
        <v>0.2</v>
      </c>
      <c r="W4" s="7" t="n">
        <v>2</v>
      </c>
      <c r="X4" s="7" t="n">
        <v>1.5</v>
      </c>
      <c r="Y4" s="7" t="n">
        <v>3</v>
      </c>
      <c r="Z4" s="7" t="n">
        <v>0.5</v>
      </c>
      <c r="AA4" s="7" t="n">
        <v>5</v>
      </c>
      <c r="AB4" s="7" t="n">
        <v>10</v>
      </c>
      <c r="AC4" s="7" t="n">
        <v>3</v>
      </c>
      <c r="AD4" s="7" t="n">
        <v>0.2</v>
      </c>
      <c r="AE4" s="7" t="n">
        <v>3</v>
      </c>
      <c r="AF4" s="7" t="n">
        <v>1.5</v>
      </c>
      <c r="AG4" s="7" t="n">
        <v>0.2</v>
      </c>
      <c r="AH4" s="7" t="n">
        <v>5</v>
      </c>
      <c r="AI4" s="7" t="n">
        <v>10</v>
      </c>
      <c r="AJ4" s="7" t="n">
        <v>5</v>
      </c>
      <c r="AK4" s="7" t="n">
        <v>2</v>
      </c>
      <c r="AL4" s="7" t="n">
        <v>3</v>
      </c>
      <c r="AM4" s="7" t="n">
        <v>2</v>
      </c>
      <c r="AN4" s="7" t="n">
        <v>1.5</v>
      </c>
      <c r="AO4" s="7" t="n">
        <v>5</v>
      </c>
      <c r="AP4" s="7" t="n">
        <v>4</v>
      </c>
      <c r="AQ4" s="7" t="n">
        <v>0.4</v>
      </c>
      <c r="AR4" s="7" t="n">
        <v>5</v>
      </c>
      <c r="AS4" s="5"/>
    </row>
    <row r="5" customFormat="false" ht="15" hidden="false" customHeight="false" outlineLevel="0" collapsed="false">
      <c r="A5" s="5" t="s">
        <v>136</v>
      </c>
      <c r="B5" s="5" t="s">
        <v>66</v>
      </c>
      <c r="C5" s="7" t="n">
        <v>0</v>
      </c>
      <c r="D5" s="7" t="n">
        <v>0</v>
      </c>
      <c r="E5" s="5" t="s">
        <v>296</v>
      </c>
      <c r="F5" s="5" t="s">
        <v>69</v>
      </c>
      <c r="G5" s="5" t="s">
        <v>296</v>
      </c>
      <c r="H5" s="7" t="n">
        <v>1</v>
      </c>
      <c r="I5" s="7" t="n">
        <v>9</v>
      </c>
      <c r="J5" s="7" t="n">
        <v>360</v>
      </c>
      <c r="K5" s="7" t="n">
        <v>90</v>
      </c>
      <c r="L5" s="5" t="s">
        <v>297</v>
      </c>
      <c r="M5" s="5" t="s">
        <v>298</v>
      </c>
      <c r="N5" s="7" t="n">
        <v>0</v>
      </c>
      <c r="O5" s="7" t="n">
        <v>3</v>
      </c>
      <c r="P5" s="7" t="n">
        <v>0</v>
      </c>
      <c r="Q5" s="7" t="n">
        <v>0</v>
      </c>
      <c r="R5" s="7" t="n">
        <v>0</v>
      </c>
      <c r="S5" s="7" t="n">
        <v>4</v>
      </c>
      <c r="T5" s="7" t="n">
        <v>3</v>
      </c>
      <c r="U5" s="5" t="s">
        <v>299</v>
      </c>
      <c r="V5" s="7" t="n">
        <v>0.3</v>
      </c>
      <c r="W5" s="7" t="n">
        <v>2.5</v>
      </c>
      <c r="X5" s="7" t="n">
        <v>1.5</v>
      </c>
      <c r="Y5" s="7" t="n">
        <v>3</v>
      </c>
      <c r="Z5" s="7" t="n">
        <v>0.5</v>
      </c>
      <c r="AA5" s="7" t="n">
        <v>5</v>
      </c>
      <c r="AB5" s="7" t="n">
        <v>10</v>
      </c>
      <c r="AC5" s="7" t="n">
        <v>3</v>
      </c>
      <c r="AD5" s="7" t="n">
        <v>0.2</v>
      </c>
      <c r="AE5" s="7" t="n">
        <v>3</v>
      </c>
      <c r="AF5" s="7" t="n">
        <v>1.5</v>
      </c>
      <c r="AG5" s="7" t="n">
        <v>0.2</v>
      </c>
      <c r="AH5" s="7" t="n">
        <v>5</v>
      </c>
      <c r="AI5" s="7" t="n">
        <v>10</v>
      </c>
      <c r="AJ5" s="7" t="n">
        <v>5</v>
      </c>
      <c r="AK5" s="7" t="n">
        <v>2</v>
      </c>
      <c r="AL5" s="7" t="n">
        <v>3</v>
      </c>
      <c r="AM5" s="7" t="n">
        <v>2</v>
      </c>
      <c r="AN5" s="7" t="n">
        <v>1.5</v>
      </c>
      <c r="AO5" s="7" t="n">
        <v>5</v>
      </c>
      <c r="AP5" s="7" t="n">
        <v>4</v>
      </c>
      <c r="AQ5" s="7" t="n">
        <v>0.4</v>
      </c>
      <c r="AR5" s="7" t="n">
        <v>5</v>
      </c>
      <c r="AS5" s="5"/>
    </row>
    <row r="6" customFormat="false" ht="15" hidden="false" customHeight="false" outlineLevel="0" collapsed="false">
      <c r="A6" s="5" t="s">
        <v>139</v>
      </c>
      <c r="B6" s="5" t="s">
        <v>66</v>
      </c>
      <c r="C6" s="7" t="n">
        <v>0</v>
      </c>
      <c r="D6" s="7" t="n">
        <v>0</v>
      </c>
      <c r="E6" s="5" t="s">
        <v>296</v>
      </c>
      <c r="F6" s="5" t="s">
        <v>69</v>
      </c>
      <c r="G6" s="5" t="s">
        <v>296</v>
      </c>
      <c r="H6" s="7" t="n">
        <v>1</v>
      </c>
      <c r="I6" s="7" t="n">
        <v>9</v>
      </c>
      <c r="J6" s="7" t="n">
        <v>360</v>
      </c>
      <c r="K6" s="7" t="n">
        <v>90</v>
      </c>
      <c r="L6" s="5" t="s">
        <v>297</v>
      </c>
      <c r="M6" s="5" t="s">
        <v>298</v>
      </c>
      <c r="N6" s="7" t="n">
        <v>0</v>
      </c>
      <c r="O6" s="7" t="n">
        <v>3</v>
      </c>
      <c r="P6" s="7" t="n">
        <v>4</v>
      </c>
      <c r="Q6" s="7" t="n">
        <v>0</v>
      </c>
      <c r="R6" s="7" t="n">
        <v>0</v>
      </c>
      <c r="S6" s="7" t="n">
        <v>4</v>
      </c>
      <c r="T6" s="7" t="n">
        <v>3</v>
      </c>
      <c r="U6" s="5" t="s">
        <v>300</v>
      </c>
      <c r="V6" s="7" t="n">
        <v>0.45</v>
      </c>
      <c r="W6" s="7" t="n">
        <v>3</v>
      </c>
      <c r="X6" s="7" t="n">
        <v>1.5</v>
      </c>
      <c r="Y6" s="7" t="n">
        <v>3</v>
      </c>
      <c r="Z6" s="7" t="n">
        <v>0.5</v>
      </c>
      <c r="AA6" s="7" t="n">
        <v>5</v>
      </c>
      <c r="AB6" s="7" t="n">
        <v>10</v>
      </c>
      <c r="AC6" s="7" t="n">
        <v>3</v>
      </c>
      <c r="AD6" s="7" t="n">
        <v>0.2</v>
      </c>
      <c r="AE6" s="7" t="n">
        <v>3</v>
      </c>
      <c r="AF6" s="7" t="n">
        <v>1.5</v>
      </c>
      <c r="AG6" s="7" t="n">
        <v>0.2</v>
      </c>
      <c r="AH6" s="7" t="n">
        <v>5</v>
      </c>
      <c r="AI6" s="7" t="n">
        <v>10</v>
      </c>
      <c r="AJ6" s="7" t="n">
        <v>5</v>
      </c>
      <c r="AK6" s="7" t="n">
        <v>2</v>
      </c>
      <c r="AL6" s="7" t="n">
        <v>3</v>
      </c>
      <c r="AM6" s="7" t="n">
        <v>2</v>
      </c>
      <c r="AN6" s="7" t="n">
        <v>1.5</v>
      </c>
      <c r="AO6" s="7" t="n">
        <v>5</v>
      </c>
      <c r="AP6" s="7" t="n">
        <v>4</v>
      </c>
      <c r="AQ6" s="7" t="n">
        <v>0.4</v>
      </c>
      <c r="AR6" s="7" t="n">
        <v>5</v>
      </c>
      <c r="AS6" s="5"/>
    </row>
    <row r="7" customFormat="false" ht="15" hidden="false" customHeight="false" outlineLevel="0" collapsed="false">
      <c r="A7" s="5" t="s">
        <v>143</v>
      </c>
      <c r="B7" s="5" t="s">
        <v>66</v>
      </c>
      <c r="C7" s="7" t="n">
        <v>0</v>
      </c>
      <c r="D7" s="7" t="n">
        <v>0</v>
      </c>
      <c r="E7" s="5" t="s">
        <v>296</v>
      </c>
      <c r="F7" s="5" t="s">
        <v>69</v>
      </c>
      <c r="G7" s="5" t="s">
        <v>296</v>
      </c>
      <c r="H7" s="7" t="n">
        <v>1</v>
      </c>
      <c r="I7" s="7" t="n">
        <v>9</v>
      </c>
      <c r="J7" s="7" t="n">
        <v>360</v>
      </c>
      <c r="K7" s="7" t="n">
        <v>90</v>
      </c>
      <c r="L7" s="5" t="s">
        <v>297</v>
      </c>
      <c r="M7" s="5" t="s">
        <v>298</v>
      </c>
      <c r="N7" s="7" t="n">
        <v>0</v>
      </c>
      <c r="O7" s="7" t="n">
        <v>3</v>
      </c>
      <c r="P7" s="7" t="n">
        <v>0</v>
      </c>
      <c r="Q7" s="7" t="n">
        <v>0</v>
      </c>
      <c r="R7" s="7" t="n">
        <v>0</v>
      </c>
      <c r="S7" s="7" t="n">
        <v>4</v>
      </c>
      <c r="T7" s="7" t="n">
        <v>3</v>
      </c>
      <c r="U7" s="5" t="s">
        <v>299</v>
      </c>
      <c r="V7" s="7" t="n">
        <v>0.15</v>
      </c>
      <c r="W7" s="7" t="n">
        <v>1.5</v>
      </c>
      <c r="X7" s="7" t="n">
        <v>1.5</v>
      </c>
      <c r="Y7" s="7" t="n">
        <v>3</v>
      </c>
      <c r="Z7" s="7" t="n">
        <v>0.5</v>
      </c>
      <c r="AA7" s="7" t="n">
        <v>5</v>
      </c>
      <c r="AB7" s="7" t="n">
        <v>10</v>
      </c>
      <c r="AC7" s="7" t="n">
        <v>3</v>
      </c>
      <c r="AD7" s="7" t="n">
        <v>0.2</v>
      </c>
      <c r="AE7" s="7" t="n">
        <v>3</v>
      </c>
      <c r="AF7" s="7" t="n">
        <v>1.5</v>
      </c>
      <c r="AG7" s="7" t="n">
        <v>0.2</v>
      </c>
      <c r="AH7" s="7" t="n">
        <v>5</v>
      </c>
      <c r="AI7" s="7" t="n">
        <v>10</v>
      </c>
      <c r="AJ7" s="7" t="n">
        <v>5</v>
      </c>
      <c r="AK7" s="7" t="n">
        <v>2</v>
      </c>
      <c r="AL7" s="7" t="n">
        <v>3</v>
      </c>
      <c r="AM7" s="7" t="n">
        <v>2</v>
      </c>
      <c r="AN7" s="7" t="n">
        <v>1.5</v>
      </c>
      <c r="AO7" s="7" t="n">
        <v>5</v>
      </c>
      <c r="AP7" s="7" t="n">
        <v>4</v>
      </c>
      <c r="AQ7" s="7" t="n">
        <v>0.4</v>
      </c>
      <c r="AR7" s="7" t="n">
        <v>5</v>
      </c>
      <c r="AS7" s="5"/>
    </row>
    <row r="8" customFormat="false" ht="15" hidden="false" customHeight="false" outlineLevel="0" collapsed="false">
      <c r="A8" s="5" t="s">
        <v>146</v>
      </c>
      <c r="B8" s="5" t="s">
        <v>66</v>
      </c>
      <c r="C8" s="7" t="n">
        <v>0</v>
      </c>
      <c r="D8" s="7" t="n">
        <v>0</v>
      </c>
      <c r="E8" s="5" t="s">
        <v>296</v>
      </c>
      <c r="F8" s="5" t="s">
        <v>69</v>
      </c>
      <c r="G8" s="5" t="s">
        <v>296</v>
      </c>
      <c r="H8" s="7" t="n">
        <v>2</v>
      </c>
      <c r="I8" s="7" t="n">
        <v>9</v>
      </c>
      <c r="J8" s="7" t="n">
        <v>360</v>
      </c>
      <c r="K8" s="7" t="n">
        <v>90</v>
      </c>
      <c r="L8" s="5" t="s">
        <v>297</v>
      </c>
      <c r="M8" s="5" t="s">
        <v>298</v>
      </c>
      <c r="N8" s="7" t="n">
        <v>0</v>
      </c>
      <c r="O8" s="7" t="n">
        <v>3</v>
      </c>
      <c r="P8" s="7" t="n">
        <v>0</v>
      </c>
      <c r="Q8" s="7" t="n">
        <v>0</v>
      </c>
      <c r="R8" s="7" t="n">
        <v>0</v>
      </c>
      <c r="S8" s="7" t="n">
        <v>4</v>
      </c>
      <c r="T8" s="7" t="n">
        <v>3</v>
      </c>
      <c r="U8" s="5" t="s">
        <v>299</v>
      </c>
      <c r="V8" s="7" t="n">
        <v>0.2</v>
      </c>
      <c r="W8" s="7" t="n">
        <v>2</v>
      </c>
      <c r="X8" s="7" t="n">
        <v>1.5</v>
      </c>
      <c r="Y8" s="7" t="n">
        <v>3</v>
      </c>
      <c r="Z8" s="7" t="n">
        <v>0.5</v>
      </c>
      <c r="AA8" s="7" t="n">
        <v>5</v>
      </c>
      <c r="AB8" s="7" t="n">
        <v>10</v>
      </c>
      <c r="AC8" s="7" t="n">
        <v>3</v>
      </c>
      <c r="AD8" s="7" t="n">
        <v>0.2</v>
      </c>
      <c r="AE8" s="7" t="n">
        <v>3</v>
      </c>
      <c r="AF8" s="7" t="n">
        <v>1.5</v>
      </c>
      <c r="AG8" s="7" t="n">
        <v>0.2</v>
      </c>
      <c r="AH8" s="7" t="n">
        <v>5</v>
      </c>
      <c r="AI8" s="7" t="n">
        <v>10</v>
      </c>
      <c r="AJ8" s="7" t="n">
        <v>5</v>
      </c>
      <c r="AK8" s="7" t="n">
        <v>2</v>
      </c>
      <c r="AL8" s="7" t="n">
        <v>3</v>
      </c>
      <c r="AM8" s="7" t="n">
        <v>2</v>
      </c>
      <c r="AN8" s="7" t="n">
        <v>1.5</v>
      </c>
      <c r="AO8" s="7" t="n">
        <v>5</v>
      </c>
      <c r="AP8" s="7" t="n">
        <v>4</v>
      </c>
      <c r="AQ8" s="7" t="n">
        <v>0.4</v>
      </c>
      <c r="AR8" s="7" t="n">
        <v>5</v>
      </c>
      <c r="AS8" s="5"/>
    </row>
    <row r="9" customFormat="false" ht="15" hidden="false" customHeight="false" outlineLevel="0" collapsed="false">
      <c r="A9" s="5" t="s">
        <v>76</v>
      </c>
      <c r="B9" s="5" t="s">
        <v>72</v>
      </c>
      <c r="C9" s="7" t="n">
        <v>0</v>
      </c>
      <c r="D9" s="7" t="n">
        <v>0</v>
      </c>
      <c r="E9" s="5" t="s">
        <v>296</v>
      </c>
      <c r="F9" s="5" t="s">
        <v>69</v>
      </c>
      <c r="G9" s="5" t="s">
        <v>296</v>
      </c>
      <c r="H9" s="7" t="n">
        <v>0</v>
      </c>
      <c r="I9" s="7" t="n">
        <v>7</v>
      </c>
      <c r="J9" s="7" t="n">
        <v>360</v>
      </c>
      <c r="K9" s="7" t="n">
        <v>90</v>
      </c>
      <c r="L9" s="5" t="s">
        <v>301</v>
      </c>
      <c r="M9" s="5" t="s">
        <v>302</v>
      </c>
      <c r="N9" s="7" t="n">
        <v>0</v>
      </c>
      <c r="O9" s="7" t="n">
        <v>3</v>
      </c>
      <c r="P9" s="7" t="n">
        <v>0</v>
      </c>
      <c r="Q9" s="7" t="n">
        <v>0</v>
      </c>
      <c r="R9" s="7" t="n">
        <v>0</v>
      </c>
      <c r="S9" s="7" t="n">
        <v>4</v>
      </c>
      <c r="T9" s="7" t="n">
        <v>3</v>
      </c>
      <c r="U9" s="5" t="s">
        <v>299</v>
      </c>
      <c r="V9" s="7" t="n">
        <v>0</v>
      </c>
      <c r="W9" s="7" t="n">
        <v>2</v>
      </c>
      <c r="X9" s="7" t="n">
        <v>1.5</v>
      </c>
      <c r="Y9" s="7" t="n">
        <v>3</v>
      </c>
      <c r="Z9" s="7" t="n">
        <v>0.5</v>
      </c>
      <c r="AA9" s="7" t="n">
        <v>4</v>
      </c>
      <c r="AB9" s="7" t="n">
        <v>10</v>
      </c>
      <c r="AC9" s="7" t="n">
        <v>3</v>
      </c>
      <c r="AD9" s="7" t="n">
        <v>0.2</v>
      </c>
      <c r="AE9" s="7" t="n">
        <v>3</v>
      </c>
      <c r="AF9" s="7" t="n">
        <v>1.5</v>
      </c>
      <c r="AG9" s="7" t="n">
        <v>0.2</v>
      </c>
      <c r="AH9" s="7" t="n">
        <v>5</v>
      </c>
      <c r="AI9" s="7" t="n">
        <v>10</v>
      </c>
      <c r="AJ9" s="7" t="n">
        <v>5</v>
      </c>
      <c r="AK9" s="7" t="n">
        <v>2</v>
      </c>
      <c r="AL9" s="7" t="n">
        <v>3</v>
      </c>
      <c r="AM9" s="7" t="n">
        <v>2</v>
      </c>
      <c r="AN9" s="7" t="n">
        <v>1.5</v>
      </c>
      <c r="AO9" s="7" t="n">
        <v>5</v>
      </c>
      <c r="AP9" s="7" t="n">
        <v>4</v>
      </c>
      <c r="AQ9" s="7" t="n">
        <v>0.4</v>
      </c>
      <c r="AR9" s="7" t="n">
        <v>5</v>
      </c>
      <c r="AS9" s="5"/>
    </row>
    <row r="10" customFormat="false" ht="15" hidden="false" customHeight="false" outlineLevel="0" collapsed="false">
      <c r="A10" s="5" t="s">
        <v>150</v>
      </c>
      <c r="B10" s="5" t="s">
        <v>72</v>
      </c>
      <c r="C10" s="7" t="n">
        <v>0</v>
      </c>
      <c r="D10" s="7" t="n">
        <v>0</v>
      </c>
      <c r="E10" s="5" t="s">
        <v>296</v>
      </c>
      <c r="F10" s="5" t="s">
        <v>69</v>
      </c>
      <c r="G10" s="5" t="s">
        <v>296</v>
      </c>
      <c r="H10" s="7" t="n">
        <v>0</v>
      </c>
      <c r="I10" s="7" t="n">
        <v>7</v>
      </c>
      <c r="J10" s="7" t="n">
        <v>360</v>
      </c>
      <c r="K10" s="7" t="n">
        <v>90</v>
      </c>
      <c r="L10" s="5" t="s">
        <v>301</v>
      </c>
      <c r="M10" s="5" t="s">
        <v>302</v>
      </c>
      <c r="N10" s="7" t="n">
        <v>0</v>
      </c>
      <c r="O10" s="7" t="n">
        <v>3</v>
      </c>
      <c r="P10" s="7" t="n">
        <v>10</v>
      </c>
      <c r="Q10" s="7" t="n">
        <v>10</v>
      </c>
      <c r="R10" s="7" t="n">
        <v>0</v>
      </c>
      <c r="S10" s="7" t="n">
        <v>4</v>
      </c>
      <c r="T10" s="7" t="n">
        <v>3</v>
      </c>
      <c r="U10" s="5" t="s">
        <v>303</v>
      </c>
      <c r="V10" s="7" t="n">
        <v>0</v>
      </c>
      <c r="W10" s="7" t="n">
        <v>2</v>
      </c>
      <c r="X10" s="7" t="n">
        <v>1.5</v>
      </c>
      <c r="Y10" s="7" t="n">
        <v>3</v>
      </c>
      <c r="Z10" s="7" t="n">
        <v>0.5</v>
      </c>
      <c r="AA10" s="7" t="n">
        <v>4</v>
      </c>
      <c r="AB10" s="7" t="n">
        <v>10</v>
      </c>
      <c r="AC10" s="7" t="n">
        <v>3</v>
      </c>
      <c r="AD10" s="7" t="n">
        <v>0.2</v>
      </c>
      <c r="AE10" s="7" t="n">
        <v>3</v>
      </c>
      <c r="AF10" s="7" t="n">
        <v>1.5</v>
      </c>
      <c r="AG10" s="7" t="n">
        <v>0.2</v>
      </c>
      <c r="AH10" s="7" t="n">
        <v>5</v>
      </c>
      <c r="AI10" s="7" t="n">
        <v>10</v>
      </c>
      <c r="AJ10" s="7" t="n">
        <v>5</v>
      </c>
      <c r="AK10" s="7" t="n">
        <v>2</v>
      </c>
      <c r="AL10" s="7" t="n">
        <v>3</v>
      </c>
      <c r="AM10" s="7" t="n">
        <v>2</v>
      </c>
      <c r="AN10" s="7" t="n">
        <v>1.5</v>
      </c>
      <c r="AO10" s="7" t="n">
        <v>5</v>
      </c>
      <c r="AP10" s="7" t="n">
        <v>4</v>
      </c>
      <c r="AQ10" s="7" t="n">
        <v>0.4</v>
      </c>
      <c r="AR10" s="7" t="n">
        <v>5</v>
      </c>
      <c r="AS10" s="5"/>
    </row>
    <row r="11" customFormat="false" ht="15" hidden="false" customHeight="false" outlineLevel="0" collapsed="false">
      <c r="A11" s="5" t="s">
        <v>153</v>
      </c>
      <c r="B11" s="5" t="s">
        <v>72</v>
      </c>
      <c r="C11" s="7" t="n">
        <v>0</v>
      </c>
      <c r="D11" s="7" t="n">
        <v>0</v>
      </c>
      <c r="E11" s="5" t="s">
        <v>296</v>
      </c>
      <c r="F11" s="5" t="s">
        <v>69</v>
      </c>
      <c r="G11" s="5" t="s">
        <v>296</v>
      </c>
      <c r="H11" s="7" t="n">
        <v>0</v>
      </c>
      <c r="I11" s="7" t="n">
        <v>7</v>
      </c>
      <c r="J11" s="7" t="n">
        <v>360</v>
      </c>
      <c r="K11" s="7" t="n">
        <v>90</v>
      </c>
      <c r="L11" s="5" t="s">
        <v>301</v>
      </c>
      <c r="M11" s="5" t="s">
        <v>302</v>
      </c>
      <c r="N11" s="7" t="n">
        <v>0</v>
      </c>
      <c r="O11" s="7" t="n">
        <v>3</v>
      </c>
      <c r="P11" s="7" t="n">
        <v>12</v>
      </c>
      <c r="Q11" s="7" t="n">
        <v>12</v>
      </c>
      <c r="R11" s="7" t="n">
        <v>0.05</v>
      </c>
      <c r="S11" s="7" t="n">
        <v>6</v>
      </c>
      <c r="T11" s="7" t="n">
        <v>3</v>
      </c>
      <c r="U11" s="5" t="s">
        <v>303</v>
      </c>
      <c r="V11" s="7" t="n">
        <v>0</v>
      </c>
      <c r="W11" s="7" t="n">
        <v>2</v>
      </c>
      <c r="X11" s="7" t="n">
        <v>1.5</v>
      </c>
      <c r="Y11" s="7" t="n">
        <v>4</v>
      </c>
      <c r="Z11" s="7" t="n">
        <v>0.5</v>
      </c>
      <c r="AA11" s="7" t="n">
        <v>5</v>
      </c>
      <c r="AB11" s="7" t="n">
        <v>10</v>
      </c>
      <c r="AC11" s="7" t="n">
        <v>3</v>
      </c>
      <c r="AD11" s="7" t="n">
        <v>0.2</v>
      </c>
      <c r="AE11" s="7" t="n">
        <v>3</v>
      </c>
      <c r="AF11" s="7" t="n">
        <v>1.5</v>
      </c>
      <c r="AG11" s="7" t="n">
        <v>0.2</v>
      </c>
      <c r="AH11" s="7" t="n">
        <v>5</v>
      </c>
      <c r="AI11" s="7" t="n">
        <v>10</v>
      </c>
      <c r="AJ11" s="7" t="n">
        <v>5</v>
      </c>
      <c r="AK11" s="7" t="n">
        <v>2</v>
      </c>
      <c r="AL11" s="7" t="n">
        <v>3</v>
      </c>
      <c r="AM11" s="7" t="n">
        <v>2</v>
      </c>
      <c r="AN11" s="7" t="n">
        <v>1.5</v>
      </c>
      <c r="AO11" s="7" t="n">
        <v>5</v>
      </c>
      <c r="AP11" s="7" t="n">
        <v>4</v>
      </c>
      <c r="AQ11" s="7" t="n">
        <v>0.4</v>
      </c>
      <c r="AR11" s="7" t="n">
        <v>5</v>
      </c>
      <c r="AS11" s="5"/>
    </row>
    <row r="12" customFormat="false" ht="15" hidden="false" customHeight="false" outlineLevel="0" collapsed="false">
      <c r="A12" s="5" t="s">
        <v>157</v>
      </c>
      <c r="B12" s="5" t="s">
        <v>72</v>
      </c>
      <c r="C12" s="7" t="n">
        <v>0</v>
      </c>
      <c r="D12" s="7" t="n">
        <v>0</v>
      </c>
      <c r="E12" s="5" t="s">
        <v>296</v>
      </c>
      <c r="F12" s="5" t="s">
        <v>69</v>
      </c>
      <c r="G12" s="5" t="s">
        <v>296</v>
      </c>
      <c r="H12" s="7" t="n">
        <v>0</v>
      </c>
      <c r="I12" s="7" t="n">
        <v>7</v>
      </c>
      <c r="J12" s="7" t="n">
        <v>360</v>
      </c>
      <c r="K12" s="7" t="n">
        <v>90</v>
      </c>
      <c r="L12" s="5" t="s">
        <v>301</v>
      </c>
      <c r="M12" s="5" t="s">
        <v>302</v>
      </c>
      <c r="N12" s="7" t="n">
        <v>0.3</v>
      </c>
      <c r="O12" s="7" t="n">
        <v>3</v>
      </c>
      <c r="P12" s="7" t="n">
        <v>0</v>
      </c>
      <c r="Q12" s="7" t="n">
        <v>0</v>
      </c>
      <c r="R12" s="7" t="n">
        <v>0</v>
      </c>
      <c r="S12" s="7" t="n">
        <v>4</v>
      </c>
      <c r="T12" s="7" t="n">
        <v>3</v>
      </c>
      <c r="U12" s="5" t="s">
        <v>299</v>
      </c>
      <c r="V12" s="7" t="n">
        <v>0</v>
      </c>
      <c r="W12" s="7" t="n">
        <v>2</v>
      </c>
      <c r="X12" s="7" t="n">
        <v>1.5</v>
      </c>
      <c r="Y12" s="7" t="n">
        <v>6</v>
      </c>
      <c r="Z12" s="7" t="n">
        <v>0.5</v>
      </c>
      <c r="AA12" s="7" t="n">
        <v>6</v>
      </c>
      <c r="AB12" s="7" t="n">
        <v>10</v>
      </c>
      <c r="AC12" s="7" t="n">
        <v>3</v>
      </c>
      <c r="AD12" s="7" t="n">
        <v>0.2</v>
      </c>
      <c r="AE12" s="7" t="n">
        <v>3</v>
      </c>
      <c r="AF12" s="7" t="n">
        <v>1.5</v>
      </c>
      <c r="AG12" s="7" t="n">
        <v>0.2</v>
      </c>
      <c r="AH12" s="7" t="n">
        <v>5</v>
      </c>
      <c r="AI12" s="7" t="n">
        <v>10</v>
      </c>
      <c r="AJ12" s="7" t="n">
        <v>5</v>
      </c>
      <c r="AK12" s="7" t="n">
        <v>2</v>
      </c>
      <c r="AL12" s="7" t="n">
        <v>3</v>
      </c>
      <c r="AM12" s="7" t="n">
        <v>2</v>
      </c>
      <c r="AN12" s="7" t="n">
        <v>1.5</v>
      </c>
      <c r="AO12" s="7" t="n">
        <v>5</v>
      </c>
      <c r="AP12" s="7" t="n">
        <v>4</v>
      </c>
      <c r="AQ12" s="7" t="n">
        <v>0.4</v>
      </c>
      <c r="AR12" s="7" t="n">
        <v>5</v>
      </c>
      <c r="AS12" s="5"/>
    </row>
    <row r="13" customFormat="false" ht="15" hidden="false" customHeight="false" outlineLevel="0" collapsed="false">
      <c r="A13" s="5" t="s">
        <v>160</v>
      </c>
      <c r="B13" s="5" t="s">
        <v>72</v>
      </c>
      <c r="C13" s="7" t="n">
        <v>0</v>
      </c>
      <c r="D13" s="7" t="n">
        <v>0</v>
      </c>
      <c r="E13" s="5" t="s">
        <v>296</v>
      </c>
      <c r="F13" s="5" t="s">
        <v>69</v>
      </c>
      <c r="G13" s="5" t="s">
        <v>296</v>
      </c>
      <c r="H13" s="7" t="n">
        <v>0</v>
      </c>
      <c r="I13" s="7" t="n">
        <v>7</v>
      </c>
      <c r="J13" s="7" t="n">
        <v>360</v>
      </c>
      <c r="K13" s="7" t="n">
        <v>90</v>
      </c>
      <c r="L13" s="5" t="s">
        <v>301</v>
      </c>
      <c r="M13" s="5" t="s">
        <v>302</v>
      </c>
      <c r="N13" s="7" t="n">
        <v>0.5</v>
      </c>
      <c r="O13" s="7" t="n">
        <v>4</v>
      </c>
      <c r="P13" s="7" t="n">
        <v>0</v>
      </c>
      <c r="Q13" s="7" t="n">
        <v>0</v>
      </c>
      <c r="R13" s="7" t="n">
        <v>0</v>
      </c>
      <c r="S13" s="7" t="n">
        <v>4</v>
      </c>
      <c r="T13" s="7" t="n">
        <v>3</v>
      </c>
      <c r="U13" s="5" t="s">
        <v>299</v>
      </c>
      <c r="V13" s="7" t="n">
        <v>0</v>
      </c>
      <c r="W13" s="7" t="n">
        <v>2</v>
      </c>
      <c r="X13" s="7" t="n">
        <v>1.5</v>
      </c>
      <c r="Y13" s="7" t="n">
        <v>6</v>
      </c>
      <c r="Z13" s="7" t="n">
        <v>0.5</v>
      </c>
      <c r="AA13" s="7" t="n">
        <v>9</v>
      </c>
      <c r="AB13" s="7" t="n">
        <v>10</v>
      </c>
      <c r="AC13" s="7" t="n">
        <v>3</v>
      </c>
      <c r="AD13" s="7" t="n">
        <v>0.2</v>
      </c>
      <c r="AE13" s="7" t="n">
        <v>3</v>
      </c>
      <c r="AF13" s="7" t="n">
        <v>1.5</v>
      </c>
      <c r="AG13" s="7" t="n">
        <v>0.2</v>
      </c>
      <c r="AH13" s="7" t="n">
        <v>5</v>
      </c>
      <c r="AI13" s="7" t="n">
        <v>10</v>
      </c>
      <c r="AJ13" s="7" t="n">
        <v>5</v>
      </c>
      <c r="AK13" s="7" t="n">
        <v>2</v>
      </c>
      <c r="AL13" s="7" t="n">
        <v>3</v>
      </c>
      <c r="AM13" s="7" t="n">
        <v>2</v>
      </c>
      <c r="AN13" s="7" t="n">
        <v>1.5</v>
      </c>
      <c r="AO13" s="7" t="n">
        <v>5</v>
      </c>
      <c r="AP13" s="7" t="n">
        <v>4</v>
      </c>
      <c r="AQ13" s="7" t="n">
        <v>0.4</v>
      </c>
      <c r="AR13" s="7" t="n">
        <v>5</v>
      </c>
      <c r="AS13" s="5"/>
    </row>
    <row r="14" customFormat="false" ht="15" hidden="false" customHeight="false" outlineLevel="0" collapsed="false">
      <c r="A14" s="5" t="s">
        <v>164</v>
      </c>
      <c r="B14" s="5" t="s">
        <v>72</v>
      </c>
      <c r="C14" s="7" t="n">
        <v>6</v>
      </c>
      <c r="D14" s="7" t="n">
        <v>0</v>
      </c>
      <c r="E14" s="5" t="s">
        <v>296</v>
      </c>
      <c r="F14" s="5" t="s">
        <v>69</v>
      </c>
      <c r="G14" s="5" t="s">
        <v>296</v>
      </c>
      <c r="H14" s="7" t="n">
        <v>0</v>
      </c>
      <c r="I14" s="7" t="n">
        <v>7</v>
      </c>
      <c r="J14" s="7" t="n">
        <v>360</v>
      </c>
      <c r="K14" s="7" t="n">
        <v>90</v>
      </c>
      <c r="L14" s="5" t="s">
        <v>301</v>
      </c>
      <c r="M14" s="5" t="s">
        <v>304</v>
      </c>
      <c r="N14" s="7" t="n">
        <v>0</v>
      </c>
      <c r="O14" s="7" t="n">
        <v>3</v>
      </c>
      <c r="P14" s="7" t="n">
        <v>0</v>
      </c>
      <c r="Q14" s="7" t="n">
        <v>0</v>
      </c>
      <c r="R14" s="7" t="n">
        <v>0</v>
      </c>
      <c r="S14" s="7" t="n">
        <v>4</v>
      </c>
      <c r="T14" s="7" t="n">
        <v>3</v>
      </c>
      <c r="U14" s="5" t="s">
        <v>299</v>
      </c>
      <c r="V14" s="7" t="n">
        <v>0.2</v>
      </c>
      <c r="W14" s="7" t="n">
        <v>2</v>
      </c>
      <c r="X14" s="7" t="n">
        <v>1.6</v>
      </c>
      <c r="Y14" s="7" t="n">
        <v>3</v>
      </c>
      <c r="Z14" s="7" t="n">
        <v>0.5</v>
      </c>
      <c r="AA14" s="7" t="n">
        <v>5</v>
      </c>
      <c r="AB14" s="7" t="n">
        <v>10</v>
      </c>
      <c r="AC14" s="7" t="n">
        <v>3</v>
      </c>
      <c r="AD14" s="7" t="n">
        <v>0.2</v>
      </c>
      <c r="AE14" s="7" t="n">
        <v>3</v>
      </c>
      <c r="AF14" s="7" t="n">
        <v>1.5</v>
      </c>
      <c r="AG14" s="7" t="n">
        <v>0.2</v>
      </c>
      <c r="AH14" s="7" t="n">
        <v>5</v>
      </c>
      <c r="AI14" s="7" t="n">
        <v>10</v>
      </c>
      <c r="AJ14" s="7" t="n">
        <v>5</v>
      </c>
      <c r="AK14" s="7" t="n">
        <v>2</v>
      </c>
      <c r="AL14" s="7" t="n">
        <v>3</v>
      </c>
      <c r="AM14" s="7" t="n">
        <v>2</v>
      </c>
      <c r="AN14" s="7" t="n">
        <v>1.5</v>
      </c>
      <c r="AO14" s="7" t="n">
        <v>5</v>
      </c>
      <c r="AP14" s="7" t="n">
        <v>4</v>
      </c>
      <c r="AQ14" s="7" t="n">
        <v>0.4</v>
      </c>
      <c r="AR14" s="7" t="n">
        <v>5</v>
      </c>
      <c r="AS14" s="5"/>
    </row>
    <row r="15" customFormat="false" ht="15" hidden="false" customHeight="false" outlineLevel="0" collapsed="false">
      <c r="A15" s="5" t="s">
        <v>167</v>
      </c>
      <c r="B15" s="5" t="s">
        <v>72</v>
      </c>
      <c r="C15" s="7" t="n">
        <v>8</v>
      </c>
      <c r="D15" s="7" t="n">
        <v>0</v>
      </c>
      <c r="E15" s="5" t="s">
        <v>296</v>
      </c>
      <c r="F15" s="5" t="s">
        <v>69</v>
      </c>
      <c r="G15" s="5" t="s">
        <v>296</v>
      </c>
      <c r="H15" s="7" t="n">
        <v>0</v>
      </c>
      <c r="I15" s="7" t="n">
        <v>7</v>
      </c>
      <c r="J15" s="7" t="n">
        <v>360</v>
      </c>
      <c r="K15" s="7" t="n">
        <v>90</v>
      </c>
      <c r="L15" s="5" t="s">
        <v>301</v>
      </c>
      <c r="M15" s="5" t="s">
        <v>304</v>
      </c>
      <c r="N15" s="7" t="n">
        <v>0.3</v>
      </c>
      <c r="O15" s="7" t="n">
        <v>3</v>
      </c>
      <c r="P15" s="7" t="n">
        <v>0</v>
      </c>
      <c r="Q15" s="7" t="n">
        <v>0</v>
      </c>
      <c r="R15" s="7" t="n">
        <v>0</v>
      </c>
      <c r="S15" s="7" t="n">
        <v>4</v>
      </c>
      <c r="T15" s="7" t="n">
        <v>3</v>
      </c>
      <c r="U15" s="5" t="s">
        <v>299</v>
      </c>
      <c r="V15" s="7" t="n">
        <v>0.3</v>
      </c>
      <c r="W15" s="7" t="n">
        <v>2.5</v>
      </c>
      <c r="X15" s="7" t="n">
        <v>2.6</v>
      </c>
      <c r="Y15" s="7" t="n">
        <v>3</v>
      </c>
      <c r="Z15" s="7" t="n">
        <v>0.5</v>
      </c>
      <c r="AA15" s="7" t="n">
        <v>5</v>
      </c>
      <c r="AB15" s="7" t="n">
        <v>10</v>
      </c>
      <c r="AC15" s="7" t="n">
        <v>3</v>
      </c>
      <c r="AD15" s="7" t="n">
        <v>0.2</v>
      </c>
      <c r="AE15" s="7" t="n">
        <v>3</v>
      </c>
      <c r="AF15" s="7" t="n">
        <v>1.5</v>
      </c>
      <c r="AG15" s="7" t="n">
        <v>0.2</v>
      </c>
      <c r="AH15" s="7" t="n">
        <v>5</v>
      </c>
      <c r="AI15" s="7" t="n">
        <v>10</v>
      </c>
      <c r="AJ15" s="7" t="n">
        <v>5</v>
      </c>
      <c r="AK15" s="7" t="n">
        <v>2</v>
      </c>
      <c r="AL15" s="7" t="n">
        <v>3</v>
      </c>
      <c r="AM15" s="7" t="n">
        <v>2</v>
      </c>
      <c r="AN15" s="7" t="n">
        <v>1.5</v>
      </c>
      <c r="AO15" s="7" t="n">
        <v>5</v>
      </c>
      <c r="AP15" s="7" t="n">
        <v>4</v>
      </c>
      <c r="AQ15" s="7" t="n">
        <v>0.4</v>
      </c>
      <c r="AR15" s="7" t="n">
        <v>5</v>
      </c>
      <c r="AS15" s="5"/>
    </row>
    <row r="16" customFormat="false" ht="15" hidden="false" customHeight="false" outlineLevel="0" collapsed="false">
      <c r="A16" s="5" t="s">
        <v>305</v>
      </c>
      <c r="B16" s="5" t="s">
        <v>77</v>
      </c>
      <c r="C16" s="7" t="n">
        <v>0</v>
      </c>
      <c r="D16" s="7" t="n">
        <v>0</v>
      </c>
      <c r="E16" s="5" t="s">
        <v>296</v>
      </c>
      <c r="F16" s="5" t="s">
        <v>69</v>
      </c>
      <c r="G16" s="5" t="s">
        <v>296</v>
      </c>
      <c r="H16" s="7" t="n">
        <v>0</v>
      </c>
      <c r="I16" s="7" t="n">
        <v>9</v>
      </c>
      <c r="J16" s="7" t="n">
        <v>360</v>
      </c>
      <c r="K16" s="7" t="n">
        <v>90</v>
      </c>
      <c r="L16" s="5" t="s">
        <v>297</v>
      </c>
      <c r="M16" s="5" t="s">
        <v>298</v>
      </c>
      <c r="N16" s="7" t="n">
        <v>0</v>
      </c>
      <c r="O16" s="7" t="n">
        <v>3</v>
      </c>
      <c r="P16" s="7" t="n">
        <v>0</v>
      </c>
      <c r="Q16" s="7" t="n">
        <v>0</v>
      </c>
      <c r="R16" s="7" t="n">
        <v>0</v>
      </c>
      <c r="S16" s="7" t="n">
        <v>4</v>
      </c>
      <c r="T16" s="7" t="n">
        <v>3</v>
      </c>
      <c r="U16" s="5" t="s">
        <v>299</v>
      </c>
      <c r="V16" s="7" t="n">
        <v>0</v>
      </c>
      <c r="W16" s="7" t="n">
        <v>2</v>
      </c>
      <c r="X16" s="7" t="n">
        <v>1.5</v>
      </c>
      <c r="Y16" s="7" t="n">
        <v>3</v>
      </c>
      <c r="Z16" s="7" t="n">
        <v>0.5</v>
      </c>
      <c r="AA16" s="7" t="n">
        <v>5</v>
      </c>
      <c r="AB16" s="7" t="n">
        <v>10</v>
      </c>
      <c r="AC16" s="7" t="n">
        <v>3</v>
      </c>
      <c r="AD16" s="7" t="n">
        <v>0.2</v>
      </c>
      <c r="AE16" s="7" t="n">
        <v>3</v>
      </c>
      <c r="AF16" s="7" t="n">
        <v>1.5</v>
      </c>
      <c r="AG16" s="7" t="n">
        <v>0.2</v>
      </c>
      <c r="AH16" s="7" t="n">
        <v>5</v>
      </c>
      <c r="AI16" s="7" t="n">
        <v>10</v>
      </c>
      <c r="AJ16" s="7" t="n">
        <v>5</v>
      </c>
      <c r="AK16" s="7" t="n">
        <v>2</v>
      </c>
      <c r="AL16" s="7" t="n">
        <v>3</v>
      </c>
      <c r="AM16" s="7" t="n">
        <v>2</v>
      </c>
      <c r="AN16" s="7" t="n">
        <v>1.5</v>
      </c>
      <c r="AO16" s="7" t="n">
        <v>5</v>
      </c>
      <c r="AP16" s="7" t="n">
        <v>4</v>
      </c>
      <c r="AQ16" s="7" t="n">
        <v>0.4</v>
      </c>
      <c r="AR16" s="7" t="n">
        <v>5</v>
      </c>
      <c r="AS16" s="5"/>
    </row>
    <row r="17" customFormat="false" ht="15" hidden="false" customHeight="false" outlineLevel="0" collapsed="false">
      <c r="A17" s="5" t="s">
        <v>306</v>
      </c>
      <c r="B17" s="5" t="s">
        <v>77</v>
      </c>
      <c r="C17" s="7" t="n">
        <v>0</v>
      </c>
      <c r="D17" s="7" t="n">
        <v>0</v>
      </c>
      <c r="E17" s="5" t="s">
        <v>296</v>
      </c>
      <c r="F17" s="5" t="s">
        <v>69</v>
      </c>
      <c r="G17" s="5" t="s">
        <v>296</v>
      </c>
      <c r="H17" s="7" t="n">
        <v>0</v>
      </c>
      <c r="I17" s="7" t="n">
        <v>9</v>
      </c>
      <c r="J17" s="7" t="n">
        <v>360</v>
      </c>
      <c r="K17" s="7" t="n">
        <v>90</v>
      </c>
      <c r="L17" s="5" t="s">
        <v>297</v>
      </c>
      <c r="M17" s="5" t="s">
        <v>298</v>
      </c>
      <c r="N17" s="7" t="n">
        <v>0</v>
      </c>
      <c r="O17" s="7" t="n">
        <v>3</v>
      </c>
      <c r="P17" s="7" t="n">
        <v>0</v>
      </c>
      <c r="Q17" s="7" t="n">
        <v>0</v>
      </c>
      <c r="R17" s="7" t="n">
        <v>0</v>
      </c>
      <c r="S17" s="7" t="n">
        <v>4</v>
      </c>
      <c r="T17" s="7" t="n">
        <v>3</v>
      </c>
      <c r="U17" s="5" t="s">
        <v>299</v>
      </c>
      <c r="V17" s="7" t="n">
        <v>0.25</v>
      </c>
      <c r="W17" s="7" t="n">
        <v>2</v>
      </c>
      <c r="X17" s="7" t="n">
        <v>1.5</v>
      </c>
      <c r="Y17" s="7" t="n">
        <v>3</v>
      </c>
      <c r="Z17" s="7" t="n">
        <v>0.5</v>
      </c>
      <c r="AA17" s="7" t="n">
        <v>5</v>
      </c>
      <c r="AB17" s="7" t="n">
        <v>10</v>
      </c>
      <c r="AC17" s="7" t="n">
        <v>3</v>
      </c>
      <c r="AD17" s="7" t="n">
        <v>0.2</v>
      </c>
      <c r="AE17" s="7" t="n">
        <v>3</v>
      </c>
      <c r="AF17" s="7" t="n">
        <v>1.5</v>
      </c>
      <c r="AG17" s="7" t="n">
        <v>0.2</v>
      </c>
      <c r="AH17" s="7" t="n">
        <v>5</v>
      </c>
      <c r="AI17" s="7" t="n">
        <v>10</v>
      </c>
      <c r="AJ17" s="7" t="n">
        <v>5</v>
      </c>
      <c r="AK17" s="7" t="n">
        <v>2</v>
      </c>
      <c r="AL17" s="7" t="n">
        <v>3</v>
      </c>
      <c r="AM17" s="7" t="n">
        <v>2</v>
      </c>
      <c r="AN17" s="7" t="n">
        <v>1.5</v>
      </c>
      <c r="AO17" s="7" t="n">
        <v>5</v>
      </c>
      <c r="AP17" s="7" t="n">
        <v>4</v>
      </c>
      <c r="AQ17" s="7" t="n">
        <v>0.4</v>
      </c>
      <c r="AR17" s="7" t="n">
        <v>5</v>
      </c>
      <c r="AS17" s="5"/>
    </row>
    <row r="18" customFormat="false" ht="15" hidden="false" customHeight="false" outlineLevel="0" collapsed="false">
      <c r="A18" s="5" t="s">
        <v>307</v>
      </c>
      <c r="B18" s="5" t="s">
        <v>77</v>
      </c>
      <c r="C18" s="7" t="n">
        <v>0</v>
      </c>
      <c r="D18" s="7" t="n">
        <v>0</v>
      </c>
      <c r="E18" s="5" t="s">
        <v>296</v>
      </c>
      <c r="F18" s="5" t="s">
        <v>69</v>
      </c>
      <c r="G18" s="5" t="s">
        <v>296</v>
      </c>
      <c r="H18" s="7" t="n">
        <v>0</v>
      </c>
      <c r="I18" s="7" t="n">
        <v>9</v>
      </c>
      <c r="J18" s="7" t="n">
        <v>360</v>
      </c>
      <c r="K18" s="7" t="n">
        <v>90</v>
      </c>
      <c r="L18" s="5" t="s">
        <v>297</v>
      </c>
      <c r="M18" s="5" t="s">
        <v>298</v>
      </c>
      <c r="N18" s="7" t="n">
        <v>0</v>
      </c>
      <c r="O18" s="7" t="n">
        <v>3</v>
      </c>
      <c r="P18" s="7" t="n">
        <v>0</v>
      </c>
      <c r="Q18" s="7" t="n">
        <v>0</v>
      </c>
      <c r="R18" s="7" t="n">
        <v>0</v>
      </c>
      <c r="S18" s="7" t="n">
        <v>4</v>
      </c>
      <c r="T18" s="7" t="n">
        <v>3</v>
      </c>
      <c r="U18" s="5" t="s">
        <v>299</v>
      </c>
      <c r="V18" s="7" t="n">
        <v>0.4</v>
      </c>
      <c r="W18" s="7" t="n">
        <v>3</v>
      </c>
      <c r="X18" s="7" t="n">
        <v>1.5</v>
      </c>
      <c r="Y18" s="7" t="n">
        <v>3</v>
      </c>
      <c r="Z18" s="7" t="n">
        <v>0.5</v>
      </c>
      <c r="AA18" s="7" t="n">
        <v>5</v>
      </c>
      <c r="AB18" s="7" t="n">
        <v>10</v>
      </c>
      <c r="AC18" s="7" t="n">
        <v>3</v>
      </c>
      <c r="AD18" s="7" t="n">
        <v>0.2</v>
      </c>
      <c r="AE18" s="7" t="n">
        <v>3</v>
      </c>
      <c r="AF18" s="7" t="n">
        <v>1.5</v>
      </c>
      <c r="AG18" s="7" t="n">
        <v>0.2</v>
      </c>
      <c r="AH18" s="7" t="n">
        <v>5</v>
      </c>
      <c r="AI18" s="7" t="n">
        <v>10</v>
      </c>
      <c r="AJ18" s="7" t="n">
        <v>5</v>
      </c>
      <c r="AK18" s="7" t="n">
        <v>2</v>
      </c>
      <c r="AL18" s="7" t="n">
        <v>3</v>
      </c>
      <c r="AM18" s="7" t="n">
        <v>2</v>
      </c>
      <c r="AN18" s="7" t="n">
        <v>1.5</v>
      </c>
      <c r="AO18" s="7" t="n">
        <v>5</v>
      </c>
      <c r="AP18" s="7" t="n">
        <v>4</v>
      </c>
      <c r="AQ18" s="7" t="n">
        <v>0.4</v>
      </c>
      <c r="AR18" s="7" t="n">
        <v>5</v>
      </c>
      <c r="AS18" s="5"/>
    </row>
    <row r="19" customFormat="false" ht="15" hidden="false" customHeight="false" outlineLevel="0" collapsed="false">
      <c r="A19" s="5" t="s">
        <v>81</v>
      </c>
      <c r="B19" s="5" t="s">
        <v>77</v>
      </c>
      <c r="C19" s="7" t="n">
        <v>0</v>
      </c>
      <c r="D19" s="7" t="n">
        <v>0</v>
      </c>
      <c r="E19" s="5" t="s">
        <v>296</v>
      </c>
      <c r="F19" s="5" t="s">
        <v>69</v>
      </c>
      <c r="G19" s="5" t="s">
        <v>296</v>
      </c>
      <c r="H19" s="7" t="n">
        <v>0</v>
      </c>
      <c r="I19" s="7" t="n">
        <v>8</v>
      </c>
      <c r="J19" s="7" t="n">
        <v>360</v>
      </c>
      <c r="K19" s="7" t="n">
        <v>90</v>
      </c>
      <c r="L19" s="5" t="s">
        <v>297</v>
      </c>
      <c r="M19" s="5" t="s">
        <v>308</v>
      </c>
      <c r="N19" s="7" t="n">
        <v>0</v>
      </c>
      <c r="O19" s="7" t="n">
        <v>3</v>
      </c>
      <c r="P19" s="7" t="n">
        <v>0</v>
      </c>
      <c r="Q19" s="7" t="n">
        <v>0</v>
      </c>
      <c r="R19" s="7" t="n">
        <v>0</v>
      </c>
      <c r="S19" s="7" t="n">
        <v>4</v>
      </c>
      <c r="T19" s="7" t="n">
        <v>3</v>
      </c>
      <c r="U19" s="5" t="s">
        <v>299</v>
      </c>
      <c r="V19" s="7" t="n">
        <v>0</v>
      </c>
      <c r="W19" s="7" t="n">
        <v>2</v>
      </c>
      <c r="X19" s="7" t="n">
        <v>1.5</v>
      </c>
      <c r="Y19" s="7" t="n">
        <v>3</v>
      </c>
      <c r="Z19" s="7" t="n">
        <v>0.5</v>
      </c>
      <c r="AA19" s="7" t="n">
        <v>5</v>
      </c>
      <c r="AB19" s="7" t="n">
        <v>10</v>
      </c>
      <c r="AC19" s="7" t="n">
        <v>3</v>
      </c>
      <c r="AD19" s="7" t="n">
        <v>0.2</v>
      </c>
      <c r="AE19" s="7" t="n">
        <v>3</v>
      </c>
      <c r="AF19" s="7" t="n">
        <v>1.5</v>
      </c>
      <c r="AG19" s="7" t="n">
        <v>0.2</v>
      </c>
      <c r="AH19" s="7" t="n">
        <v>3</v>
      </c>
      <c r="AI19" s="7" t="n">
        <v>3</v>
      </c>
      <c r="AJ19" s="7" t="n">
        <v>5</v>
      </c>
      <c r="AK19" s="7" t="n">
        <v>2</v>
      </c>
      <c r="AL19" s="7" t="n">
        <v>3</v>
      </c>
      <c r="AM19" s="7" t="n">
        <v>2</v>
      </c>
      <c r="AN19" s="7" t="n">
        <v>1.5</v>
      </c>
      <c r="AO19" s="7" t="n">
        <v>5</v>
      </c>
      <c r="AP19" s="7" t="n">
        <v>4</v>
      </c>
      <c r="AQ19" s="7" t="n">
        <v>0.4</v>
      </c>
      <c r="AR19" s="7" t="n">
        <v>5</v>
      </c>
      <c r="AS19" s="5" t="s">
        <v>305</v>
      </c>
    </row>
    <row r="20" customFormat="false" ht="15" hidden="false" customHeight="false" outlineLevel="0" collapsed="false">
      <c r="A20" s="5" t="s">
        <v>171</v>
      </c>
      <c r="B20" s="5" t="s">
        <v>77</v>
      </c>
      <c r="C20" s="7" t="n">
        <v>0</v>
      </c>
      <c r="D20" s="7" t="n">
        <v>0</v>
      </c>
      <c r="E20" s="5" t="s">
        <v>296</v>
      </c>
      <c r="F20" s="5" t="s">
        <v>69</v>
      </c>
      <c r="G20" s="5" t="s">
        <v>296</v>
      </c>
      <c r="H20" s="7" t="n">
        <v>0</v>
      </c>
      <c r="I20" s="7" t="n">
        <v>8</v>
      </c>
      <c r="J20" s="7" t="n">
        <v>360</v>
      </c>
      <c r="K20" s="7" t="n">
        <v>90</v>
      </c>
      <c r="L20" s="5" t="s">
        <v>297</v>
      </c>
      <c r="M20" s="5" t="s">
        <v>308</v>
      </c>
      <c r="N20" s="7" t="n">
        <v>0</v>
      </c>
      <c r="O20" s="7" t="n">
        <v>3</v>
      </c>
      <c r="P20" s="7" t="n">
        <v>0</v>
      </c>
      <c r="Q20" s="7" t="n">
        <v>0</v>
      </c>
      <c r="R20" s="7" t="n">
        <v>0</v>
      </c>
      <c r="S20" s="7" t="n">
        <v>4</v>
      </c>
      <c r="T20" s="7" t="n">
        <v>3</v>
      </c>
      <c r="U20" s="5" t="s">
        <v>299</v>
      </c>
      <c r="V20" s="7" t="n">
        <v>0</v>
      </c>
      <c r="W20" s="7" t="n">
        <v>2</v>
      </c>
      <c r="X20" s="7" t="n">
        <v>1.5</v>
      </c>
      <c r="Y20" s="7" t="n">
        <v>3</v>
      </c>
      <c r="Z20" s="7" t="n">
        <v>0.5</v>
      </c>
      <c r="AA20" s="7" t="n">
        <v>5</v>
      </c>
      <c r="AB20" s="7" t="n">
        <v>10</v>
      </c>
      <c r="AC20" s="7" t="n">
        <v>3</v>
      </c>
      <c r="AD20" s="7" t="n">
        <v>0.2</v>
      </c>
      <c r="AE20" s="7" t="n">
        <v>3</v>
      </c>
      <c r="AF20" s="7" t="n">
        <v>1.5</v>
      </c>
      <c r="AG20" s="7" t="n">
        <v>0.2</v>
      </c>
      <c r="AH20" s="7" t="n">
        <v>5</v>
      </c>
      <c r="AI20" s="7" t="n">
        <v>3</v>
      </c>
      <c r="AJ20" s="7" t="n">
        <v>5</v>
      </c>
      <c r="AK20" s="7" t="n">
        <v>2</v>
      </c>
      <c r="AL20" s="7" t="n">
        <v>3</v>
      </c>
      <c r="AM20" s="7" t="n">
        <v>2</v>
      </c>
      <c r="AN20" s="7" t="n">
        <v>1.5</v>
      </c>
      <c r="AO20" s="7" t="n">
        <v>5</v>
      </c>
      <c r="AP20" s="7" t="n">
        <v>4</v>
      </c>
      <c r="AQ20" s="7" t="n">
        <v>0.4</v>
      </c>
      <c r="AR20" s="7" t="n">
        <v>5</v>
      </c>
      <c r="AS20" s="5" t="s">
        <v>305</v>
      </c>
    </row>
    <row r="21" customFormat="false" ht="15" hidden="false" customHeight="false" outlineLevel="0" collapsed="false">
      <c r="A21" s="5" t="s">
        <v>174</v>
      </c>
      <c r="B21" s="5" t="s">
        <v>77</v>
      </c>
      <c r="C21" s="7" t="n">
        <v>0</v>
      </c>
      <c r="D21" s="7" t="n">
        <v>0</v>
      </c>
      <c r="E21" s="5" t="s">
        <v>296</v>
      </c>
      <c r="F21" s="5" t="s">
        <v>69</v>
      </c>
      <c r="G21" s="5" t="s">
        <v>296</v>
      </c>
      <c r="H21" s="7" t="n">
        <v>0</v>
      </c>
      <c r="I21" s="7" t="n">
        <v>8</v>
      </c>
      <c r="J21" s="7" t="n">
        <v>360</v>
      </c>
      <c r="K21" s="7" t="n">
        <v>90</v>
      </c>
      <c r="L21" s="5" t="s">
        <v>297</v>
      </c>
      <c r="M21" s="5" t="s">
        <v>308</v>
      </c>
      <c r="N21" s="7" t="n">
        <v>0</v>
      </c>
      <c r="O21" s="7" t="n">
        <v>3</v>
      </c>
      <c r="P21" s="7" t="n">
        <v>0</v>
      </c>
      <c r="Q21" s="7" t="n">
        <v>0</v>
      </c>
      <c r="R21" s="7" t="n">
        <v>0</v>
      </c>
      <c r="S21" s="7" t="n">
        <v>4</v>
      </c>
      <c r="T21" s="7" t="n">
        <v>3</v>
      </c>
      <c r="U21" s="5" t="s">
        <v>299</v>
      </c>
      <c r="V21" s="7" t="n">
        <v>0</v>
      </c>
      <c r="W21" s="7" t="n">
        <v>2</v>
      </c>
      <c r="X21" s="7" t="n">
        <v>1.5</v>
      </c>
      <c r="Y21" s="7" t="n">
        <v>3</v>
      </c>
      <c r="Z21" s="7" t="n">
        <v>0.5</v>
      </c>
      <c r="AA21" s="7" t="n">
        <v>5</v>
      </c>
      <c r="AB21" s="7" t="n">
        <v>10</v>
      </c>
      <c r="AC21" s="7" t="n">
        <v>3</v>
      </c>
      <c r="AD21" s="7" t="n">
        <v>0.2</v>
      </c>
      <c r="AE21" s="7" t="n">
        <v>3</v>
      </c>
      <c r="AF21" s="7" t="n">
        <v>1.5</v>
      </c>
      <c r="AG21" s="7" t="n">
        <v>0.2</v>
      </c>
      <c r="AH21" s="7" t="n">
        <v>8</v>
      </c>
      <c r="AI21" s="7" t="n">
        <v>4</v>
      </c>
      <c r="AJ21" s="7" t="n">
        <v>5</v>
      </c>
      <c r="AK21" s="7" t="n">
        <v>2</v>
      </c>
      <c r="AL21" s="7" t="n">
        <v>3</v>
      </c>
      <c r="AM21" s="7" t="n">
        <v>2</v>
      </c>
      <c r="AN21" s="7" t="n">
        <v>1.5</v>
      </c>
      <c r="AO21" s="7" t="n">
        <v>5</v>
      </c>
      <c r="AP21" s="7" t="n">
        <v>4</v>
      </c>
      <c r="AQ21" s="7" t="n">
        <v>0.4</v>
      </c>
      <c r="AR21" s="7" t="n">
        <v>5</v>
      </c>
      <c r="AS21" s="5" t="s">
        <v>305</v>
      </c>
    </row>
    <row r="22" customFormat="false" ht="15" hidden="false" customHeight="false" outlineLevel="0" collapsed="false">
      <c r="A22" s="5" t="s">
        <v>178</v>
      </c>
      <c r="B22" s="5" t="s">
        <v>77</v>
      </c>
      <c r="C22" s="7" t="n">
        <v>0</v>
      </c>
      <c r="D22" s="7" t="n">
        <v>0</v>
      </c>
      <c r="E22" s="5" t="s">
        <v>296</v>
      </c>
      <c r="F22" s="5" t="s">
        <v>69</v>
      </c>
      <c r="G22" s="5" t="s">
        <v>296</v>
      </c>
      <c r="H22" s="7" t="n">
        <v>0</v>
      </c>
      <c r="I22" s="7" t="n">
        <v>8</v>
      </c>
      <c r="J22" s="7" t="n">
        <v>360</v>
      </c>
      <c r="K22" s="7" t="n">
        <v>90</v>
      </c>
      <c r="L22" s="5" t="s">
        <v>297</v>
      </c>
      <c r="M22" s="5" t="s">
        <v>308</v>
      </c>
      <c r="N22" s="7" t="n">
        <v>0</v>
      </c>
      <c r="O22" s="7" t="n">
        <v>3</v>
      </c>
      <c r="P22" s="7" t="n">
        <v>0</v>
      </c>
      <c r="Q22" s="7" t="n">
        <v>0</v>
      </c>
      <c r="R22" s="7" t="n">
        <v>0</v>
      </c>
      <c r="S22" s="7" t="n">
        <v>4</v>
      </c>
      <c r="T22" s="7" t="n">
        <v>3</v>
      </c>
      <c r="U22" s="5" t="s">
        <v>299</v>
      </c>
      <c r="V22" s="7" t="n">
        <v>0</v>
      </c>
      <c r="W22" s="7" t="n">
        <v>2</v>
      </c>
      <c r="X22" s="7" t="n">
        <v>1.5</v>
      </c>
      <c r="Y22" s="7" t="n">
        <v>3</v>
      </c>
      <c r="Z22" s="7" t="n">
        <v>0.5</v>
      </c>
      <c r="AA22" s="7" t="n">
        <v>5</v>
      </c>
      <c r="AB22" s="7" t="n">
        <v>10</v>
      </c>
      <c r="AC22" s="7" t="n">
        <v>3</v>
      </c>
      <c r="AD22" s="7" t="n">
        <v>0.2</v>
      </c>
      <c r="AE22" s="7" t="n">
        <v>3</v>
      </c>
      <c r="AF22" s="7" t="n">
        <v>1.5</v>
      </c>
      <c r="AG22" s="7" t="n">
        <v>0.2</v>
      </c>
      <c r="AH22" s="7" t="n">
        <v>4</v>
      </c>
      <c r="AI22" s="7" t="n">
        <v>3</v>
      </c>
      <c r="AJ22" s="7" t="n">
        <v>5</v>
      </c>
      <c r="AK22" s="7" t="n">
        <v>2</v>
      </c>
      <c r="AL22" s="7" t="n">
        <v>3</v>
      </c>
      <c r="AM22" s="7" t="n">
        <v>2</v>
      </c>
      <c r="AN22" s="7" t="n">
        <v>1.5</v>
      </c>
      <c r="AO22" s="7" t="n">
        <v>5</v>
      </c>
      <c r="AP22" s="7" t="n">
        <v>4</v>
      </c>
      <c r="AQ22" s="7" t="n">
        <v>0.4</v>
      </c>
      <c r="AR22" s="7" t="n">
        <v>5</v>
      </c>
      <c r="AS22" s="5" t="s">
        <v>305</v>
      </c>
    </row>
    <row r="23" customFormat="false" ht="15" hidden="false" customHeight="false" outlineLevel="0" collapsed="false">
      <c r="A23" s="5" t="s">
        <v>181</v>
      </c>
      <c r="B23" s="5" t="s">
        <v>77</v>
      </c>
      <c r="C23" s="7" t="n">
        <v>4</v>
      </c>
      <c r="D23" s="7" t="n">
        <v>0</v>
      </c>
      <c r="E23" s="5" t="s">
        <v>296</v>
      </c>
      <c r="F23" s="5" t="s">
        <v>69</v>
      </c>
      <c r="G23" s="5" t="s">
        <v>296</v>
      </c>
      <c r="H23" s="7" t="n">
        <v>0</v>
      </c>
      <c r="I23" s="7" t="n">
        <v>8</v>
      </c>
      <c r="J23" s="7" t="n">
        <v>360</v>
      </c>
      <c r="K23" s="7" t="n">
        <v>90</v>
      </c>
      <c r="L23" s="5" t="s">
        <v>297</v>
      </c>
      <c r="M23" s="5" t="s">
        <v>308</v>
      </c>
      <c r="N23" s="7" t="n">
        <v>0</v>
      </c>
      <c r="O23" s="7" t="n">
        <v>3</v>
      </c>
      <c r="P23" s="7" t="n">
        <v>0</v>
      </c>
      <c r="Q23" s="7" t="n">
        <v>0</v>
      </c>
      <c r="R23" s="7" t="n">
        <v>0</v>
      </c>
      <c r="S23" s="7" t="n">
        <v>4</v>
      </c>
      <c r="T23" s="7" t="n">
        <v>3</v>
      </c>
      <c r="U23" s="5" t="s">
        <v>299</v>
      </c>
      <c r="V23" s="7" t="n">
        <v>0</v>
      </c>
      <c r="W23" s="7" t="n">
        <v>2</v>
      </c>
      <c r="X23" s="7" t="n">
        <v>1.5</v>
      </c>
      <c r="Y23" s="7" t="n">
        <v>3</v>
      </c>
      <c r="Z23" s="7" t="n">
        <v>0.5</v>
      </c>
      <c r="AA23" s="7" t="n">
        <v>5</v>
      </c>
      <c r="AB23" s="7" t="n">
        <v>10</v>
      </c>
      <c r="AC23" s="7" t="n">
        <v>3</v>
      </c>
      <c r="AD23" s="7" t="n">
        <v>0.2</v>
      </c>
      <c r="AE23" s="7" t="n">
        <v>3</v>
      </c>
      <c r="AF23" s="7" t="n">
        <v>1.5</v>
      </c>
      <c r="AG23" s="7" t="n">
        <v>0.2</v>
      </c>
      <c r="AH23" s="7" t="n">
        <v>4</v>
      </c>
      <c r="AI23" s="7" t="n">
        <v>6</v>
      </c>
      <c r="AJ23" s="7" t="n">
        <v>5</v>
      </c>
      <c r="AK23" s="7" t="n">
        <v>2</v>
      </c>
      <c r="AL23" s="7" t="n">
        <v>3</v>
      </c>
      <c r="AM23" s="7" t="n">
        <v>2</v>
      </c>
      <c r="AN23" s="7" t="n">
        <v>1.5</v>
      </c>
      <c r="AO23" s="7" t="n">
        <v>5</v>
      </c>
      <c r="AP23" s="7" t="n">
        <v>4</v>
      </c>
      <c r="AQ23" s="7" t="n">
        <v>0.4</v>
      </c>
      <c r="AR23" s="7" t="n">
        <v>5</v>
      </c>
      <c r="AS23" s="5" t="s">
        <v>305</v>
      </c>
    </row>
    <row r="24" customFormat="false" ht="15" hidden="false" customHeight="false" outlineLevel="0" collapsed="false">
      <c r="A24" s="5" t="s">
        <v>185</v>
      </c>
      <c r="B24" s="5" t="s">
        <v>77</v>
      </c>
      <c r="C24" s="7" t="n">
        <v>0</v>
      </c>
      <c r="D24" s="7" t="n">
        <v>0</v>
      </c>
      <c r="E24" s="5" t="s">
        <v>296</v>
      </c>
      <c r="F24" s="5" t="s">
        <v>69</v>
      </c>
      <c r="G24" s="5" t="s">
        <v>296</v>
      </c>
      <c r="H24" s="7" t="n">
        <v>0</v>
      </c>
      <c r="I24" s="7" t="n">
        <v>8</v>
      </c>
      <c r="J24" s="7" t="n">
        <v>360</v>
      </c>
      <c r="K24" s="7" t="n">
        <v>90</v>
      </c>
      <c r="L24" s="5" t="s">
        <v>297</v>
      </c>
      <c r="M24" s="5" t="s">
        <v>308</v>
      </c>
      <c r="N24" s="7" t="n">
        <v>0</v>
      </c>
      <c r="O24" s="7" t="n">
        <v>3</v>
      </c>
      <c r="P24" s="7" t="n">
        <v>0</v>
      </c>
      <c r="Q24" s="7" t="n">
        <v>0</v>
      </c>
      <c r="R24" s="7" t="n">
        <v>0</v>
      </c>
      <c r="S24" s="7" t="n">
        <v>4</v>
      </c>
      <c r="T24" s="7" t="n">
        <v>3</v>
      </c>
      <c r="U24" s="5" t="s">
        <v>299</v>
      </c>
      <c r="V24" s="7" t="n">
        <v>0</v>
      </c>
      <c r="W24" s="7" t="n">
        <v>2</v>
      </c>
      <c r="X24" s="7" t="n">
        <v>1.5</v>
      </c>
      <c r="Y24" s="7" t="n">
        <v>3</v>
      </c>
      <c r="Z24" s="7" t="n">
        <v>0.5</v>
      </c>
      <c r="AA24" s="7" t="n">
        <v>5</v>
      </c>
      <c r="AB24" s="7" t="n">
        <v>10</v>
      </c>
      <c r="AC24" s="7" t="n">
        <v>3</v>
      </c>
      <c r="AD24" s="7" t="n">
        <v>0.2</v>
      </c>
      <c r="AE24" s="7" t="n">
        <v>3</v>
      </c>
      <c r="AF24" s="7" t="n">
        <v>1.5</v>
      </c>
      <c r="AG24" s="7" t="n">
        <v>0.2</v>
      </c>
      <c r="AH24" s="7" t="n">
        <v>5</v>
      </c>
      <c r="AI24" s="7" t="n">
        <v>3</v>
      </c>
      <c r="AJ24" s="7" t="n">
        <v>5</v>
      </c>
      <c r="AK24" s="7" t="n">
        <v>2</v>
      </c>
      <c r="AL24" s="7" t="n">
        <v>3</v>
      </c>
      <c r="AM24" s="7" t="n">
        <v>2</v>
      </c>
      <c r="AN24" s="7" t="n">
        <v>1.5</v>
      </c>
      <c r="AO24" s="7" t="n">
        <v>5</v>
      </c>
      <c r="AP24" s="7" t="n">
        <v>4</v>
      </c>
      <c r="AQ24" s="7" t="n">
        <v>0.4</v>
      </c>
      <c r="AR24" s="7" t="n">
        <v>5</v>
      </c>
      <c r="AS24" s="5" t="s">
        <v>306</v>
      </c>
    </row>
    <row r="25" customFormat="false" ht="15" hidden="false" customHeight="false" outlineLevel="0" collapsed="false">
      <c r="A25" s="5" t="s">
        <v>188</v>
      </c>
      <c r="B25" s="5" t="s">
        <v>77</v>
      </c>
      <c r="C25" s="7" t="n">
        <v>0</v>
      </c>
      <c r="D25" s="7" t="n">
        <v>0</v>
      </c>
      <c r="E25" s="5" t="s">
        <v>296</v>
      </c>
      <c r="F25" s="5" t="s">
        <v>69</v>
      </c>
      <c r="G25" s="5" t="s">
        <v>296</v>
      </c>
      <c r="H25" s="7" t="n">
        <v>0</v>
      </c>
      <c r="I25" s="7" t="n">
        <v>8</v>
      </c>
      <c r="J25" s="7" t="n">
        <v>360</v>
      </c>
      <c r="K25" s="7" t="n">
        <v>90</v>
      </c>
      <c r="L25" s="5" t="s">
        <v>297</v>
      </c>
      <c r="M25" s="5" t="s">
        <v>308</v>
      </c>
      <c r="N25" s="7" t="n">
        <v>0</v>
      </c>
      <c r="O25" s="7" t="n">
        <v>3</v>
      </c>
      <c r="P25" s="7" t="n">
        <v>0</v>
      </c>
      <c r="Q25" s="7" t="n">
        <v>0</v>
      </c>
      <c r="R25" s="7" t="n">
        <v>0</v>
      </c>
      <c r="S25" s="7" t="n">
        <v>4</v>
      </c>
      <c r="T25" s="7" t="n">
        <v>3</v>
      </c>
      <c r="U25" s="5" t="s">
        <v>299</v>
      </c>
      <c r="V25" s="7" t="n">
        <v>0</v>
      </c>
      <c r="W25" s="7" t="n">
        <v>2</v>
      </c>
      <c r="X25" s="7" t="n">
        <v>1.5</v>
      </c>
      <c r="Y25" s="7" t="n">
        <v>3</v>
      </c>
      <c r="Z25" s="7" t="n">
        <v>0.5</v>
      </c>
      <c r="AA25" s="7" t="n">
        <v>5</v>
      </c>
      <c r="AB25" s="7" t="n">
        <v>10</v>
      </c>
      <c r="AC25" s="7" t="n">
        <v>3</v>
      </c>
      <c r="AD25" s="7" t="n">
        <v>0.2</v>
      </c>
      <c r="AE25" s="7" t="n">
        <v>3</v>
      </c>
      <c r="AF25" s="7" t="n">
        <v>1.5</v>
      </c>
      <c r="AG25" s="7" t="n">
        <v>0.2</v>
      </c>
      <c r="AH25" s="7" t="n">
        <v>6</v>
      </c>
      <c r="AI25" s="7" t="n">
        <v>4</v>
      </c>
      <c r="AJ25" s="7" t="n">
        <v>5</v>
      </c>
      <c r="AK25" s="7" t="n">
        <v>2</v>
      </c>
      <c r="AL25" s="7" t="n">
        <v>3</v>
      </c>
      <c r="AM25" s="7" t="n">
        <v>2</v>
      </c>
      <c r="AN25" s="7" t="n">
        <v>1.5</v>
      </c>
      <c r="AO25" s="7" t="n">
        <v>5</v>
      </c>
      <c r="AP25" s="7" t="n">
        <v>4</v>
      </c>
      <c r="AQ25" s="7" t="n">
        <v>0.4</v>
      </c>
      <c r="AR25" s="7" t="n">
        <v>5</v>
      </c>
      <c r="AS25" s="5" t="s">
        <v>307</v>
      </c>
    </row>
    <row r="26" customFormat="false" ht="15" hidden="false" customHeight="false" outlineLevel="0" collapsed="false">
      <c r="A26" s="5" t="s">
        <v>85</v>
      </c>
      <c r="B26" s="5" t="s">
        <v>82</v>
      </c>
      <c r="C26" s="7" t="n">
        <v>0</v>
      </c>
      <c r="D26" s="7" t="n">
        <v>0</v>
      </c>
      <c r="E26" s="5" t="s">
        <v>296</v>
      </c>
      <c r="F26" s="5" t="s">
        <v>69</v>
      </c>
      <c r="G26" s="5" t="s">
        <v>296</v>
      </c>
      <c r="H26" s="7" t="n">
        <v>0</v>
      </c>
      <c r="I26" s="7" t="n">
        <v>9</v>
      </c>
      <c r="J26" s="7" t="n">
        <v>360</v>
      </c>
      <c r="K26" s="7" t="n">
        <v>90</v>
      </c>
      <c r="L26" s="5" t="s">
        <v>297</v>
      </c>
      <c r="M26" s="5" t="s">
        <v>309</v>
      </c>
      <c r="N26" s="7" t="n">
        <v>0</v>
      </c>
      <c r="O26" s="7" t="n">
        <v>3</v>
      </c>
      <c r="P26" s="7" t="n">
        <v>0</v>
      </c>
      <c r="Q26" s="7" t="n">
        <v>0</v>
      </c>
      <c r="R26" s="7" t="n">
        <v>0</v>
      </c>
      <c r="S26" s="7" t="n">
        <v>4</v>
      </c>
      <c r="T26" s="7" t="n">
        <v>3</v>
      </c>
      <c r="U26" s="5" t="s">
        <v>299</v>
      </c>
      <c r="V26" s="7" t="n">
        <v>0</v>
      </c>
      <c r="W26" s="7" t="n">
        <v>2</v>
      </c>
      <c r="X26" s="7" t="n">
        <v>1.5</v>
      </c>
      <c r="Y26" s="7" t="n">
        <v>3</v>
      </c>
      <c r="Z26" s="7" t="n">
        <v>0.5</v>
      </c>
      <c r="AA26" s="7" t="n">
        <v>5</v>
      </c>
      <c r="AB26" s="7" t="n">
        <v>10</v>
      </c>
      <c r="AC26" s="7" t="n">
        <v>3</v>
      </c>
      <c r="AD26" s="7" t="n">
        <v>0.2</v>
      </c>
      <c r="AE26" s="7" t="n">
        <v>3</v>
      </c>
      <c r="AF26" s="7" t="n">
        <v>1.5</v>
      </c>
      <c r="AG26" s="7" t="n">
        <v>0.2</v>
      </c>
      <c r="AH26" s="7" t="n">
        <v>5</v>
      </c>
      <c r="AI26" s="7" t="n">
        <v>10</v>
      </c>
      <c r="AJ26" s="7" t="n">
        <v>5</v>
      </c>
      <c r="AK26" s="7" t="n">
        <v>2</v>
      </c>
      <c r="AL26" s="7" t="n">
        <v>3</v>
      </c>
      <c r="AM26" s="7" t="n">
        <v>2</v>
      </c>
      <c r="AN26" s="7" t="n">
        <v>1.5</v>
      </c>
      <c r="AO26" s="7" t="n">
        <v>5</v>
      </c>
      <c r="AP26" s="7" t="n">
        <v>4</v>
      </c>
      <c r="AQ26" s="7" t="n">
        <v>0.4</v>
      </c>
      <c r="AR26" s="7" t="n">
        <v>3</v>
      </c>
      <c r="AS26" s="5"/>
    </row>
    <row r="27" customFormat="false" ht="15" hidden="false" customHeight="false" outlineLevel="0" collapsed="false">
      <c r="A27" s="5" t="s">
        <v>192</v>
      </c>
      <c r="B27" s="5" t="s">
        <v>82</v>
      </c>
      <c r="C27" s="7" t="n">
        <v>0</v>
      </c>
      <c r="D27" s="7" t="n">
        <v>0</v>
      </c>
      <c r="E27" s="5" t="s">
        <v>296</v>
      </c>
      <c r="F27" s="5" t="s">
        <v>69</v>
      </c>
      <c r="G27" s="5" t="s">
        <v>296</v>
      </c>
      <c r="H27" s="7" t="n">
        <v>0</v>
      </c>
      <c r="I27" s="7" t="n">
        <v>9</v>
      </c>
      <c r="J27" s="7" t="n">
        <v>360</v>
      </c>
      <c r="K27" s="7" t="n">
        <v>90</v>
      </c>
      <c r="L27" s="5" t="s">
        <v>297</v>
      </c>
      <c r="M27" s="5" t="s">
        <v>309</v>
      </c>
      <c r="N27" s="7" t="n">
        <v>0</v>
      </c>
      <c r="O27" s="7" t="n">
        <v>3</v>
      </c>
      <c r="P27" s="7" t="n">
        <v>0</v>
      </c>
      <c r="Q27" s="7" t="n">
        <v>0</v>
      </c>
      <c r="R27" s="7" t="n">
        <v>0</v>
      </c>
      <c r="S27" s="7" t="n">
        <v>4</v>
      </c>
      <c r="T27" s="7" t="n">
        <v>3</v>
      </c>
      <c r="U27" s="5" t="s">
        <v>299</v>
      </c>
      <c r="V27" s="7" t="n">
        <v>0</v>
      </c>
      <c r="W27" s="7" t="n">
        <v>2</v>
      </c>
      <c r="X27" s="7" t="n">
        <v>1.5</v>
      </c>
      <c r="Y27" s="7" t="n">
        <v>3</v>
      </c>
      <c r="Z27" s="7" t="n">
        <v>0.5</v>
      </c>
      <c r="AA27" s="7" t="n">
        <v>5</v>
      </c>
      <c r="AB27" s="7" t="n">
        <v>10</v>
      </c>
      <c r="AC27" s="7" t="n">
        <v>3</v>
      </c>
      <c r="AD27" s="7" t="n">
        <v>0.2</v>
      </c>
      <c r="AE27" s="7" t="n">
        <v>3</v>
      </c>
      <c r="AF27" s="7" t="n">
        <v>1.5</v>
      </c>
      <c r="AG27" s="7" t="n">
        <v>0.2</v>
      </c>
      <c r="AH27" s="7" t="n">
        <v>5</v>
      </c>
      <c r="AI27" s="7" t="n">
        <v>10</v>
      </c>
      <c r="AJ27" s="7" t="n">
        <v>5</v>
      </c>
      <c r="AK27" s="7" t="n">
        <v>2</v>
      </c>
      <c r="AL27" s="7" t="n">
        <v>3</v>
      </c>
      <c r="AM27" s="7" t="n">
        <v>2</v>
      </c>
      <c r="AN27" s="7" t="n">
        <v>1.5</v>
      </c>
      <c r="AO27" s="7" t="n">
        <v>5</v>
      </c>
      <c r="AP27" s="7" t="n">
        <v>5</v>
      </c>
      <c r="AQ27" s="7" t="n">
        <v>0.55</v>
      </c>
      <c r="AR27" s="7" t="n">
        <v>4</v>
      </c>
      <c r="AS27" s="5"/>
    </row>
    <row r="28" customFormat="false" ht="15" hidden="false" customHeight="false" outlineLevel="0" collapsed="false">
      <c r="A28" s="5" t="s">
        <v>195</v>
      </c>
      <c r="B28" s="5" t="s">
        <v>82</v>
      </c>
      <c r="C28" s="7" t="n">
        <v>0</v>
      </c>
      <c r="D28" s="7" t="n">
        <v>0</v>
      </c>
      <c r="E28" s="5" t="s">
        <v>296</v>
      </c>
      <c r="F28" s="5" t="s">
        <v>69</v>
      </c>
      <c r="G28" s="5" t="s">
        <v>296</v>
      </c>
      <c r="H28" s="7" t="n">
        <v>0</v>
      </c>
      <c r="I28" s="7" t="n">
        <v>9</v>
      </c>
      <c r="J28" s="7" t="n">
        <v>360</v>
      </c>
      <c r="K28" s="7" t="n">
        <v>90</v>
      </c>
      <c r="L28" s="5" t="s">
        <v>297</v>
      </c>
      <c r="M28" s="5" t="s">
        <v>309</v>
      </c>
      <c r="N28" s="7" t="n">
        <v>0</v>
      </c>
      <c r="O28" s="7" t="n">
        <v>3</v>
      </c>
      <c r="P28" s="7" t="n">
        <v>0</v>
      </c>
      <c r="Q28" s="7" t="n">
        <v>0</v>
      </c>
      <c r="R28" s="7" t="n">
        <v>0</v>
      </c>
      <c r="S28" s="7" t="n">
        <v>4</v>
      </c>
      <c r="T28" s="7" t="n">
        <v>3</v>
      </c>
      <c r="U28" s="5" t="s">
        <v>299</v>
      </c>
      <c r="V28" s="7" t="n">
        <v>0</v>
      </c>
      <c r="W28" s="7" t="n">
        <v>2</v>
      </c>
      <c r="X28" s="7" t="n">
        <v>1.5</v>
      </c>
      <c r="Y28" s="7" t="n">
        <v>3</v>
      </c>
      <c r="Z28" s="7" t="n">
        <v>0.5</v>
      </c>
      <c r="AA28" s="7" t="n">
        <v>5</v>
      </c>
      <c r="AB28" s="7" t="n">
        <v>10</v>
      </c>
      <c r="AC28" s="7" t="n">
        <v>3</v>
      </c>
      <c r="AD28" s="7" t="n">
        <v>0.2</v>
      </c>
      <c r="AE28" s="7" t="n">
        <v>3</v>
      </c>
      <c r="AF28" s="7" t="n">
        <v>1.5</v>
      </c>
      <c r="AG28" s="7" t="n">
        <v>0.2</v>
      </c>
      <c r="AH28" s="7" t="n">
        <v>5</v>
      </c>
      <c r="AI28" s="7" t="n">
        <v>10</v>
      </c>
      <c r="AJ28" s="7" t="n">
        <v>5</v>
      </c>
      <c r="AK28" s="7" t="n">
        <v>2</v>
      </c>
      <c r="AL28" s="7" t="n">
        <v>3</v>
      </c>
      <c r="AM28" s="7" t="n">
        <v>2</v>
      </c>
      <c r="AN28" s="7" t="n">
        <v>1.5</v>
      </c>
      <c r="AO28" s="7" t="n">
        <v>5</v>
      </c>
      <c r="AP28" s="7" t="n">
        <v>6</v>
      </c>
      <c r="AQ28" s="7" t="n">
        <v>0.65</v>
      </c>
      <c r="AR28" s="7" t="n">
        <v>6</v>
      </c>
      <c r="AS28" s="5"/>
    </row>
    <row r="29" customFormat="false" ht="15" hidden="false" customHeight="false" outlineLevel="0" collapsed="false">
      <c r="A29" s="5" t="s">
        <v>199</v>
      </c>
      <c r="B29" s="5" t="s">
        <v>82</v>
      </c>
      <c r="C29" s="7" t="n">
        <v>0</v>
      </c>
      <c r="D29" s="7" t="n">
        <v>0</v>
      </c>
      <c r="E29" s="5" t="s">
        <v>296</v>
      </c>
      <c r="F29" s="5" t="s">
        <v>69</v>
      </c>
      <c r="G29" s="5" t="s">
        <v>296</v>
      </c>
      <c r="H29" s="7" t="n">
        <v>0</v>
      </c>
      <c r="I29" s="7" t="n">
        <v>9</v>
      </c>
      <c r="J29" s="7" t="n">
        <v>360</v>
      </c>
      <c r="K29" s="7" t="n">
        <v>90</v>
      </c>
      <c r="L29" s="5" t="s">
        <v>297</v>
      </c>
      <c r="M29" s="5" t="s">
        <v>310</v>
      </c>
      <c r="N29" s="7" t="n">
        <v>0</v>
      </c>
      <c r="O29" s="7" t="n">
        <v>3</v>
      </c>
      <c r="P29" s="7" t="n">
        <v>0</v>
      </c>
      <c r="Q29" s="7" t="n">
        <v>0</v>
      </c>
      <c r="R29" s="7" t="n">
        <v>0</v>
      </c>
      <c r="S29" s="7" t="n">
        <v>4</v>
      </c>
      <c r="T29" s="7" t="n">
        <v>3</v>
      </c>
      <c r="U29" s="5" t="s">
        <v>299</v>
      </c>
      <c r="V29" s="7" t="n">
        <v>0</v>
      </c>
      <c r="W29" s="7" t="n">
        <v>2</v>
      </c>
      <c r="X29" s="7" t="n">
        <v>1.5</v>
      </c>
      <c r="Y29" s="7" t="n">
        <v>3</v>
      </c>
      <c r="Z29" s="7" t="n">
        <v>0.5</v>
      </c>
      <c r="AA29" s="7" t="n">
        <v>5</v>
      </c>
      <c r="AB29" s="7" t="n">
        <v>10</v>
      </c>
      <c r="AC29" s="7" t="n">
        <v>3</v>
      </c>
      <c r="AD29" s="7" t="n">
        <v>0.2</v>
      </c>
      <c r="AE29" s="7" t="n">
        <v>3</v>
      </c>
      <c r="AF29" s="7" t="n">
        <v>1.5</v>
      </c>
      <c r="AG29" s="7" t="n">
        <v>0.2</v>
      </c>
      <c r="AH29" s="7" t="n">
        <v>5</v>
      </c>
      <c r="AI29" s="7" t="n">
        <v>10</v>
      </c>
      <c r="AJ29" s="7" t="n">
        <v>5</v>
      </c>
      <c r="AK29" s="7" t="n">
        <v>2</v>
      </c>
      <c r="AL29" s="7" t="n">
        <v>3</v>
      </c>
      <c r="AM29" s="7" t="n">
        <v>2</v>
      </c>
      <c r="AN29" s="7" t="n">
        <v>1.5</v>
      </c>
      <c r="AO29" s="7" t="n">
        <v>15</v>
      </c>
      <c r="AP29" s="7" t="n">
        <v>4</v>
      </c>
      <c r="AQ29" s="7" t="n">
        <v>0.4</v>
      </c>
      <c r="AR29" s="7" t="n">
        <v>5</v>
      </c>
      <c r="AS29" s="5"/>
    </row>
    <row r="30" customFormat="false" ht="15" hidden="false" customHeight="false" outlineLevel="0" collapsed="false">
      <c r="A30" s="5" t="s">
        <v>202</v>
      </c>
      <c r="B30" s="5" t="s">
        <v>82</v>
      </c>
      <c r="C30" s="7" t="n">
        <v>0</v>
      </c>
      <c r="D30" s="7" t="n">
        <v>0</v>
      </c>
      <c r="E30" s="5" t="s">
        <v>296</v>
      </c>
      <c r="F30" s="5" t="s">
        <v>69</v>
      </c>
      <c r="G30" s="5" t="s">
        <v>296</v>
      </c>
      <c r="H30" s="7" t="n">
        <v>0</v>
      </c>
      <c r="I30" s="7" t="n">
        <v>9</v>
      </c>
      <c r="J30" s="7" t="n">
        <v>360</v>
      </c>
      <c r="K30" s="7" t="n">
        <v>90</v>
      </c>
      <c r="L30" s="5" t="s">
        <v>297</v>
      </c>
      <c r="M30" s="5" t="s">
        <v>310</v>
      </c>
      <c r="N30" s="7" t="n">
        <v>0.3</v>
      </c>
      <c r="O30" s="7" t="n">
        <v>3</v>
      </c>
      <c r="P30" s="7" t="n">
        <v>0</v>
      </c>
      <c r="Q30" s="7" t="n">
        <v>0</v>
      </c>
      <c r="R30" s="7" t="n">
        <v>0</v>
      </c>
      <c r="S30" s="7" t="n">
        <v>4</v>
      </c>
      <c r="T30" s="7" t="n">
        <v>3</v>
      </c>
      <c r="U30" s="5" t="s">
        <v>299</v>
      </c>
      <c r="V30" s="7" t="n">
        <v>0</v>
      </c>
      <c r="W30" s="7" t="n">
        <v>2</v>
      </c>
      <c r="X30" s="7" t="n">
        <v>1.5</v>
      </c>
      <c r="Y30" s="7" t="n">
        <v>3</v>
      </c>
      <c r="Z30" s="7" t="n">
        <v>0.5</v>
      </c>
      <c r="AA30" s="7" t="n">
        <v>5</v>
      </c>
      <c r="AB30" s="7" t="n">
        <v>10</v>
      </c>
      <c r="AC30" s="7" t="n">
        <v>3</v>
      </c>
      <c r="AD30" s="7" t="n">
        <v>0.2</v>
      </c>
      <c r="AE30" s="7" t="n">
        <v>3</v>
      </c>
      <c r="AF30" s="7" t="n">
        <v>1.5</v>
      </c>
      <c r="AG30" s="7" t="n">
        <v>0.2</v>
      </c>
      <c r="AH30" s="7" t="n">
        <v>5</v>
      </c>
      <c r="AI30" s="7" t="n">
        <v>10</v>
      </c>
      <c r="AJ30" s="7" t="n">
        <v>5</v>
      </c>
      <c r="AK30" s="7" t="n">
        <v>2</v>
      </c>
      <c r="AL30" s="7" t="n">
        <v>3</v>
      </c>
      <c r="AM30" s="7" t="n">
        <v>1.2</v>
      </c>
      <c r="AN30" s="7" t="n">
        <v>2.2</v>
      </c>
      <c r="AO30" s="7" t="n">
        <v>30</v>
      </c>
      <c r="AP30" s="7" t="n">
        <v>4</v>
      </c>
      <c r="AQ30" s="7" t="n">
        <v>0.4</v>
      </c>
      <c r="AR30" s="7" t="n">
        <v>5</v>
      </c>
      <c r="AS30" s="5"/>
    </row>
    <row r="31" customFormat="false" ht="15" hidden="false" customHeight="false" outlineLevel="0" collapsed="false">
      <c r="A31" s="5" t="s">
        <v>206</v>
      </c>
      <c r="B31" s="5" t="s">
        <v>82</v>
      </c>
      <c r="C31" s="7" t="n">
        <v>0</v>
      </c>
      <c r="D31" s="7" t="n">
        <v>0</v>
      </c>
      <c r="E31" s="5" t="s">
        <v>296</v>
      </c>
      <c r="F31" s="5" t="s">
        <v>69</v>
      </c>
      <c r="G31" s="5" t="s">
        <v>296</v>
      </c>
      <c r="H31" s="7" t="n">
        <v>0</v>
      </c>
      <c r="I31" s="7" t="n">
        <v>9</v>
      </c>
      <c r="J31" s="7" t="n">
        <v>360</v>
      </c>
      <c r="K31" s="7" t="n">
        <v>90</v>
      </c>
      <c r="L31" s="5" t="s">
        <v>297</v>
      </c>
      <c r="M31" s="5" t="s">
        <v>309</v>
      </c>
      <c r="N31" s="7" t="n">
        <v>0</v>
      </c>
      <c r="O31" s="7" t="n">
        <v>3</v>
      </c>
      <c r="P31" s="7" t="n">
        <v>0</v>
      </c>
      <c r="Q31" s="7" t="n">
        <v>0</v>
      </c>
      <c r="R31" s="7" t="n">
        <v>0</v>
      </c>
      <c r="S31" s="7" t="n">
        <v>4</v>
      </c>
      <c r="T31" s="7" t="n">
        <v>3</v>
      </c>
      <c r="U31" s="5" t="s">
        <v>299</v>
      </c>
      <c r="V31" s="7" t="n">
        <v>0</v>
      </c>
      <c r="W31" s="7" t="n">
        <v>2</v>
      </c>
      <c r="X31" s="7" t="n">
        <v>1.5</v>
      </c>
      <c r="Y31" s="7" t="n">
        <v>3</v>
      </c>
      <c r="Z31" s="7" t="n">
        <v>0.5</v>
      </c>
      <c r="AA31" s="7" t="n">
        <v>5</v>
      </c>
      <c r="AB31" s="7" t="n">
        <v>10</v>
      </c>
      <c r="AC31" s="7" t="n">
        <v>3</v>
      </c>
      <c r="AD31" s="7" t="n">
        <v>0.2</v>
      </c>
      <c r="AE31" s="7" t="n">
        <v>3</v>
      </c>
      <c r="AF31" s="7" t="n">
        <v>1.5</v>
      </c>
      <c r="AG31" s="7" t="n">
        <v>0.2</v>
      </c>
      <c r="AH31" s="7" t="n">
        <v>5</v>
      </c>
      <c r="AI31" s="7" t="n">
        <v>10</v>
      </c>
      <c r="AJ31" s="7" t="n">
        <v>5</v>
      </c>
      <c r="AK31" s="7" t="n">
        <v>2</v>
      </c>
      <c r="AL31" s="7" t="n">
        <v>3</v>
      </c>
      <c r="AM31" s="7" t="n">
        <v>2</v>
      </c>
      <c r="AN31" s="7" t="n">
        <v>1.5</v>
      </c>
      <c r="AO31" s="7" t="n">
        <v>5</v>
      </c>
      <c r="AP31" s="7" t="n">
        <v>4</v>
      </c>
      <c r="AQ31" s="7" t="n">
        <v>0.5</v>
      </c>
      <c r="AR31" s="7" t="n">
        <v>3</v>
      </c>
      <c r="AS31" s="5"/>
    </row>
    <row r="32" customFormat="false" ht="15" hidden="false" customHeight="false" outlineLevel="0" collapsed="false">
      <c r="A32" s="5" t="s">
        <v>209</v>
      </c>
      <c r="B32" s="5" t="s">
        <v>82</v>
      </c>
      <c r="C32" s="7" t="n">
        <v>0</v>
      </c>
      <c r="D32" s="7" t="n">
        <v>0</v>
      </c>
      <c r="E32" s="5" t="s">
        <v>296</v>
      </c>
      <c r="F32" s="5" t="s">
        <v>69</v>
      </c>
      <c r="G32" s="5" t="s">
        <v>296</v>
      </c>
      <c r="H32" s="7" t="n">
        <v>0</v>
      </c>
      <c r="I32" s="7" t="n">
        <v>9</v>
      </c>
      <c r="J32" s="7" t="n">
        <v>360</v>
      </c>
      <c r="K32" s="7" t="n">
        <v>90</v>
      </c>
      <c r="L32" s="5" t="s">
        <v>297</v>
      </c>
      <c r="M32" s="5" t="s">
        <v>309</v>
      </c>
      <c r="N32" s="7" t="n">
        <v>0</v>
      </c>
      <c r="O32" s="7" t="n">
        <v>3</v>
      </c>
      <c r="P32" s="7" t="n">
        <v>0</v>
      </c>
      <c r="Q32" s="7" t="n">
        <v>0</v>
      </c>
      <c r="R32" s="7" t="n">
        <v>0</v>
      </c>
      <c r="S32" s="7" t="n">
        <v>4</v>
      </c>
      <c r="T32" s="7" t="n">
        <v>3</v>
      </c>
      <c r="U32" s="5" t="s">
        <v>299</v>
      </c>
      <c r="V32" s="7" t="n">
        <v>0</v>
      </c>
      <c r="W32" s="7" t="n">
        <v>2</v>
      </c>
      <c r="X32" s="7" t="n">
        <v>1.5</v>
      </c>
      <c r="Y32" s="7" t="n">
        <v>3</v>
      </c>
      <c r="Z32" s="7" t="n">
        <v>0.5</v>
      </c>
      <c r="AA32" s="7" t="n">
        <v>5</v>
      </c>
      <c r="AB32" s="7" t="n">
        <v>10</v>
      </c>
      <c r="AC32" s="7" t="n">
        <v>3</v>
      </c>
      <c r="AD32" s="7" t="n">
        <v>0.2</v>
      </c>
      <c r="AE32" s="7" t="n">
        <v>3</v>
      </c>
      <c r="AF32" s="7" t="n">
        <v>1.5</v>
      </c>
      <c r="AG32" s="7" t="n">
        <v>0.2</v>
      </c>
      <c r="AH32" s="7" t="n">
        <v>5</v>
      </c>
      <c r="AI32" s="7" t="n">
        <v>10</v>
      </c>
      <c r="AJ32" s="7" t="n">
        <v>5</v>
      </c>
      <c r="AK32" s="7" t="n">
        <v>2</v>
      </c>
      <c r="AL32" s="7" t="n">
        <v>3</v>
      </c>
      <c r="AM32" s="7" t="n">
        <v>2</v>
      </c>
      <c r="AN32" s="7" t="n">
        <v>1.5</v>
      </c>
      <c r="AO32" s="7" t="n">
        <v>5</v>
      </c>
      <c r="AP32" s="7" t="n">
        <v>5</v>
      </c>
      <c r="AQ32" s="7" t="n">
        <v>0.55</v>
      </c>
      <c r="AR32" s="7" t="n">
        <v>4</v>
      </c>
      <c r="AS32" s="5"/>
    </row>
    <row r="33" customFormat="false" ht="15" hidden="false" customHeight="false" outlineLevel="0" collapsed="false">
      <c r="A33" s="5" t="s">
        <v>88</v>
      </c>
      <c r="B33" s="5" t="s">
        <v>86</v>
      </c>
      <c r="C33" s="7" t="n">
        <v>0</v>
      </c>
      <c r="D33" s="7" t="n">
        <v>0</v>
      </c>
      <c r="E33" s="5" t="s">
        <v>296</v>
      </c>
      <c r="F33" s="5" t="s">
        <v>69</v>
      </c>
      <c r="G33" s="5" t="s">
        <v>296</v>
      </c>
      <c r="H33" s="7" t="n">
        <v>0</v>
      </c>
      <c r="I33" s="7" t="n">
        <v>10</v>
      </c>
      <c r="J33" s="7" t="n">
        <v>360</v>
      </c>
      <c r="K33" s="7" t="n">
        <v>90</v>
      </c>
      <c r="L33" s="5" t="s">
        <v>301</v>
      </c>
      <c r="M33" s="5" t="s">
        <v>311</v>
      </c>
      <c r="N33" s="7" t="n">
        <v>0</v>
      </c>
      <c r="O33" s="7" t="n">
        <v>3</v>
      </c>
      <c r="P33" s="7" t="n">
        <v>0</v>
      </c>
      <c r="Q33" s="7" t="n">
        <v>0</v>
      </c>
      <c r="R33" s="7" t="n">
        <v>0</v>
      </c>
      <c r="S33" s="7" t="n">
        <v>4</v>
      </c>
      <c r="T33" s="7" t="n">
        <v>3</v>
      </c>
      <c r="U33" s="5" t="s">
        <v>299</v>
      </c>
      <c r="V33" s="7" t="n">
        <v>0</v>
      </c>
      <c r="W33" s="7" t="n">
        <v>2</v>
      </c>
      <c r="X33" s="7" t="n">
        <v>1.5</v>
      </c>
      <c r="Y33" s="7" t="n">
        <v>3</v>
      </c>
      <c r="Z33" s="7" t="n">
        <v>0.5</v>
      </c>
      <c r="AA33" s="7" t="n">
        <v>5</v>
      </c>
      <c r="AB33" s="7" t="n">
        <v>8</v>
      </c>
      <c r="AC33" s="7" t="n">
        <v>2</v>
      </c>
      <c r="AD33" s="7" t="n">
        <v>0.2</v>
      </c>
      <c r="AE33" s="7" t="n">
        <v>3</v>
      </c>
      <c r="AF33" s="7" t="n">
        <v>1.5</v>
      </c>
      <c r="AG33" s="7" t="n">
        <v>0.2</v>
      </c>
      <c r="AH33" s="7" t="n">
        <v>5</v>
      </c>
      <c r="AI33" s="7" t="n">
        <v>10</v>
      </c>
      <c r="AJ33" s="7" t="n">
        <v>5</v>
      </c>
      <c r="AK33" s="7" t="n">
        <v>2</v>
      </c>
      <c r="AL33" s="7" t="n">
        <v>3</v>
      </c>
      <c r="AM33" s="7" t="n">
        <v>2</v>
      </c>
      <c r="AN33" s="7" t="n">
        <v>1.5</v>
      </c>
      <c r="AO33" s="7" t="n">
        <v>5</v>
      </c>
      <c r="AP33" s="7" t="n">
        <v>4</v>
      </c>
      <c r="AQ33" s="7" t="n">
        <v>0.4</v>
      </c>
      <c r="AR33" s="7" t="n">
        <v>5</v>
      </c>
      <c r="AS33" s="5"/>
    </row>
    <row r="34" customFormat="false" ht="15" hidden="false" customHeight="false" outlineLevel="0" collapsed="false">
      <c r="A34" s="5" t="s">
        <v>213</v>
      </c>
      <c r="B34" s="5" t="s">
        <v>86</v>
      </c>
      <c r="C34" s="7" t="n">
        <v>0</v>
      </c>
      <c r="D34" s="7" t="n">
        <v>0</v>
      </c>
      <c r="E34" s="5" t="s">
        <v>296</v>
      </c>
      <c r="F34" s="5" t="s">
        <v>69</v>
      </c>
      <c r="G34" s="5" t="s">
        <v>296</v>
      </c>
      <c r="H34" s="7" t="n">
        <v>0</v>
      </c>
      <c r="I34" s="7" t="n">
        <v>10</v>
      </c>
      <c r="J34" s="7" t="n">
        <v>360</v>
      </c>
      <c r="K34" s="7" t="n">
        <v>90</v>
      </c>
      <c r="L34" s="5" t="s">
        <v>301</v>
      </c>
      <c r="M34" s="5" t="s">
        <v>311</v>
      </c>
      <c r="N34" s="7" t="n">
        <v>0</v>
      </c>
      <c r="O34" s="7" t="n">
        <v>3</v>
      </c>
      <c r="P34" s="7" t="n">
        <v>0</v>
      </c>
      <c r="Q34" s="7" t="n">
        <v>0</v>
      </c>
      <c r="R34" s="7" t="n">
        <v>0</v>
      </c>
      <c r="S34" s="7" t="n">
        <v>4</v>
      </c>
      <c r="T34" s="7" t="n">
        <v>3</v>
      </c>
      <c r="U34" s="5" t="s">
        <v>299</v>
      </c>
      <c r="V34" s="7" t="n">
        <v>0</v>
      </c>
      <c r="W34" s="7" t="n">
        <v>2</v>
      </c>
      <c r="X34" s="7" t="n">
        <v>1.5</v>
      </c>
      <c r="Y34" s="7" t="n">
        <v>3</v>
      </c>
      <c r="Z34" s="7" t="n">
        <v>0.5</v>
      </c>
      <c r="AA34" s="7" t="n">
        <v>5</v>
      </c>
      <c r="AB34" s="7" t="n">
        <v>8</v>
      </c>
      <c r="AC34" s="7" t="n">
        <v>4</v>
      </c>
      <c r="AD34" s="7" t="n">
        <v>0.2</v>
      </c>
      <c r="AE34" s="7" t="n">
        <v>3.5</v>
      </c>
      <c r="AF34" s="7" t="n">
        <v>1.5</v>
      </c>
      <c r="AG34" s="7" t="n">
        <v>0.2</v>
      </c>
      <c r="AH34" s="7" t="n">
        <v>5</v>
      </c>
      <c r="AI34" s="7" t="n">
        <v>10</v>
      </c>
      <c r="AJ34" s="7" t="n">
        <v>5</v>
      </c>
      <c r="AK34" s="7" t="n">
        <v>2</v>
      </c>
      <c r="AL34" s="7" t="n">
        <v>3</v>
      </c>
      <c r="AM34" s="7" t="n">
        <v>2</v>
      </c>
      <c r="AN34" s="7" t="n">
        <v>1.5</v>
      </c>
      <c r="AO34" s="7" t="n">
        <v>5</v>
      </c>
      <c r="AP34" s="7" t="n">
        <v>4</v>
      </c>
      <c r="AQ34" s="7" t="n">
        <v>0.4</v>
      </c>
      <c r="AR34" s="7" t="n">
        <v>5</v>
      </c>
      <c r="AS34" s="5"/>
    </row>
    <row r="35" customFormat="false" ht="15" hidden="false" customHeight="false" outlineLevel="0" collapsed="false">
      <c r="A35" s="5" t="s">
        <v>216</v>
      </c>
      <c r="B35" s="5" t="s">
        <v>86</v>
      </c>
      <c r="C35" s="7" t="n">
        <v>0</v>
      </c>
      <c r="D35" s="7" t="n">
        <v>0</v>
      </c>
      <c r="E35" s="5" t="s">
        <v>296</v>
      </c>
      <c r="F35" s="5" t="s">
        <v>69</v>
      </c>
      <c r="G35" s="5" t="s">
        <v>296</v>
      </c>
      <c r="H35" s="7" t="n">
        <v>0</v>
      </c>
      <c r="I35" s="7" t="n">
        <v>10</v>
      </c>
      <c r="J35" s="7" t="n">
        <v>360</v>
      </c>
      <c r="K35" s="7" t="n">
        <v>90</v>
      </c>
      <c r="L35" s="5" t="s">
        <v>301</v>
      </c>
      <c r="M35" s="5" t="s">
        <v>311</v>
      </c>
      <c r="N35" s="7" t="n">
        <v>0</v>
      </c>
      <c r="O35" s="7" t="n">
        <v>3</v>
      </c>
      <c r="P35" s="7" t="n">
        <v>0</v>
      </c>
      <c r="Q35" s="7" t="n">
        <v>0</v>
      </c>
      <c r="R35" s="7" t="n">
        <v>0</v>
      </c>
      <c r="S35" s="7" t="n">
        <v>4</v>
      </c>
      <c r="T35" s="7" t="n">
        <v>3</v>
      </c>
      <c r="U35" s="5" t="s">
        <v>299</v>
      </c>
      <c r="V35" s="7" t="n">
        <v>0</v>
      </c>
      <c r="W35" s="7" t="n">
        <v>2</v>
      </c>
      <c r="X35" s="7" t="n">
        <v>1.5</v>
      </c>
      <c r="Y35" s="7" t="n">
        <v>3</v>
      </c>
      <c r="Z35" s="7" t="n">
        <v>0.5</v>
      </c>
      <c r="AA35" s="7" t="n">
        <v>5</v>
      </c>
      <c r="AB35" s="7" t="n">
        <v>9</v>
      </c>
      <c r="AC35" s="7" t="n">
        <v>7</v>
      </c>
      <c r="AD35" s="7" t="n">
        <v>0.1</v>
      </c>
      <c r="AE35" s="7" t="n">
        <v>4</v>
      </c>
      <c r="AF35" s="7" t="n">
        <v>1.5</v>
      </c>
      <c r="AG35" s="7" t="n">
        <v>0.2</v>
      </c>
      <c r="AH35" s="7" t="n">
        <v>5</v>
      </c>
      <c r="AI35" s="7" t="n">
        <v>10</v>
      </c>
      <c r="AJ35" s="7" t="n">
        <v>5</v>
      </c>
      <c r="AK35" s="7" t="n">
        <v>2</v>
      </c>
      <c r="AL35" s="7" t="n">
        <v>3</v>
      </c>
      <c r="AM35" s="7" t="n">
        <v>2</v>
      </c>
      <c r="AN35" s="7" t="n">
        <v>1.5</v>
      </c>
      <c r="AO35" s="7" t="n">
        <v>5</v>
      </c>
      <c r="AP35" s="7" t="n">
        <v>4</v>
      </c>
      <c r="AQ35" s="7" t="n">
        <v>0.4</v>
      </c>
      <c r="AR35" s="7" t="n">
        <v>5</v>
      </c>
      <c r="AS35" s="5"/>
    </row>
    <row r="36" customFormat="false" ht="15" hidden="false" customHeight="false" outlineLevel="0" collapsed="false">
      <c r="A36" s="5" t="s">
        <v>220</v>
      </c>
      <c r="B36" s="5" t="s">
        <v>86</v>
      </c>
      <c r="C36" s="7" t="n">
        <v>0</v>
      </c>
      <c r="D36" s="7" t="n">
        <v>0</v>
      </c>
      <c r="E36" s="5" t="s">
        <v>296</v>
      </c>
      <c r="F36" s="5" t="s">
        <v>69</v>
      </c>
      <c r="G36" s="5" t="s">
        <v>296</v>
      </c>
      <c r="H36" s="7" t="n">
        <v>0</v>
      </c>
      <c r="I36" s="7" t="n">
        <v>10</v>
      </c>
      <c r="J36" s="7" t="n">
        <v>360</v>
      </c>
      <c r="K36" s="7" t="n">
        <v>90</v>
      </c>
      <c r="L36" s="5" t="s">
        <v>301</v>
      </c>
      <c r="M36" s="5" t="s">
        <v>311</v>
      </c>
      <c r="N36" s="7" t="n">
        <v>0</v>
      </c>
      <c r="O36" s="7" t="n">
        <v>3</v>
      </c>
      <c r="P36" s="7" t="n">
        <v>0</v>
      </c>
      <c r="Q36" s="7" t="n">
        <v>0</v>
      </c>
      <c r="R36" s="7" t="n">
        <v>0</v>
      </c>
      <c r="S36" s="7" t="n">
        <v>4</v>
      </c>
      <c r="T36" s="7" t="n">
        <v>3</v>
      </c>
      <c r="U36" s="5" t="s">
        <v>299</v>
      </c>
      <c r="V36" s="7" t="n">
        <v>0</v>
      </c>
      <c r="W36" s="7" t="n">
        <v>2</v>
      </c>
      <c r="X36" s="7" t="n">
        <v>1.5</v>
      </c>
      <c r="Y36" s="7" t="n">
        <v>3</v>
      </c>
      <c r="Z36" s="7" t="n">
        <v>0.5</v>
      </c>
      <c r="AA36" s="7" t="n">
        <v>5</v>
      </c>
      <c r="AB36" s="7" t="n">
        <v>20</v>
      </c>
      <c r="AC36" s="7" t="n">
        <v>1</v>
      </c>
      <c r="AD36" s="7" t="n">
        <v>0.2</v>
      </c>
      <c r="AE36" s="7" t="n">
        <v>3</v>
      </c>
      <c r="AF36" s="7" t="n">
        <v>1.5</v>
      </c>
      <c r="AG36" s="7" t="n">
        <v>0.2</v>
      </c>
      <c r="AH36" s="7" t="n">
        <v>5</v>
      </c>
      <c r="AI36" s="7" t="n">
        <v>10</v>
      </c>
      <c r="AJ36" s="7" t="n">
        <v>5</v>
      </c>
      <c r="AK36" s="7" t="n">
        <v>2</v>
      </c>
      <c r="AL36" s="7" t="n">
        <v>3</v>
      </c>
      <c r="AM36" s="7" t="n">
        <v>2</v>
      </c>
      <c r="AN36" s="7" t="n">
        <v>1.5</v>
      </c>
      <c r="AO36" s="7" t="n">
        <v>5</v>
      </c>
      <c r="AP36" s="7" t="n">
        <v>4</v>
      </c>
      <c r="AQ36" s="7" t="n">
        <v>0.4</v>
      </c>
      <c r="AR36" s="7" t="n">
        <v>5</v>
      </c>
      <c r="AS36" s="5"/>
    </row>
    <row r="37" customFormat="false" ht="15" hidden="false" customHeight="false" outlineLevel="0" collapsed="false">
      <c r="A37" s="5" t="s">
        <v>223</v>
      </c>
      <c r="B37" s="5" t="s">
        <v>86</v>
      </c>
      <c r="C37" s="7" t="n">
        <v>0</v>
      </c>
      <c r="D37" s="7" t="n">
        <v>0</v>
      </c>
      <c r="E37" s="5" t="s">
        <v>296</v>
      </c>
      <c r="F37" s="5" t="s">
        <v>69</v>
      </c>
      <c r="G37" s="5" t="s">
        <v>296</v>
      </c>
      <c r="H37" s="7" t="n">
        <v>0</v>
      </c>
      <c r="I37" s="7" t="n">
        <v>10</v>
      </c>
      <c r="J37" s="7" t="n">
        <v>360</v>
      </c>
      <c r="K37" s="7" t="n">
        <v>90</v>
      </c>
      <c r="L37" s="5" t="s">
        <v>301</v>
      </c>
      <c r="M37" s="5" t="s">
        <v>311</v>
      </c>
      <c r="N37" s="7" t="n">
        <v>0</v>
      </c>
      <c r="O37" s="7" t="n">
        <v>3</v>
      </c>
      <c r="P37" s="7" t="n">
        <v>0</v>
      </c>
      <c r="Q37" s="7" t="n">
        <v>0</v>
      </c>
      <c r="R37" s="7" t="n">
        <v>0</v>
      </c>
      <c r="S37" s="7" t="n">
        <v>4</v>
      </c>
      <c r="T37" s="7" t="n">
        <v>3</v>
      </c>
      <c r="U37" s="5" t="s">
        <v>299</v>
      </c>
      <c r="V37" s="7" t="n">
        <v>0</v>
      </c>
      <c r="W37" s="7" t="n">
        <v>2</v>
      </c>
      <c r="X37" s="7" t="n">
        <v>1.5</v>
      </c>
      <c r="Y37" s="7" t="n">
        <v>3</v>
      </c>
      <c r="Z37" s="7" t="n">
        <v>0.5</v>
      </c>
      <c r="AA37" s="7" t="n">
        <v>5</v>
      </c>
      <c r="AB37" s="7" t="n">
        <v>34</v>
      </c>
      <c r="AC37" s="7" t="n">
        <v>1</v>
      </c>
      <c r="AD37" s="7" t="n">
        <v>0.2</v>
      </c>
      <c r="AE37" s="7" t="n">
        <v>3</v>
      </c>
      <c r="AF37" s="7" t="n">
        <v>1.5</v>
      </c>
      <c r="AG37" s="7" t="n">
        <v>0.2</v>
      </c>
      <c r="AH37" s="7" t="n">
        <v>5</v>
      </c>
      <c r="AI37" s="7" t="n">
        <v>10</v>
      </c>
      <c r="AJ37" s="7" t="n">
        <v>5</v>
      </c>
      <c r="AK37" s="7" t="n">
        <v>2</v>
      </c>
      <c r="AL37" s="7" t="n">
        <v>3</v>
      </c>
      <c r="AM37" s="7" t="n">
        <v>2</v>
      </c>
      <c r="AN37" s="7" t="n">
        <v>1.5</v>
      </c>
      <c r="AO37" s="7" t="n">
        <v>5</v>
      </c>
      <c r="AP37" s="7" t="n">
        <v>4</v>
      </c>
      <c r="AQ37" s="7" t="n">
        <v>0.4</v>
      </c>
      <c r="AR37" s="7" t="n">
        <v>5</v>
      </c>
      <c r="AS37" s="5"/>
    </row>
    <row r="38" customFormat="false" ht="15" hidden="false" customHeight="false" outlineLevel="0" collapsed="false">
      <c r="A38" s="5" t="s">
        <v>227</v>
      </c>
      <c r="B38" s="5" t="s">
        <v>86</v>
      </c>
      <c r="C38" s="7" t="n">
        <v>0</v>
      </c>
      <c r="D38" s="7" t="n">
        <v>0</v>
      </c>
      <c r="E38" s="5" t="s">
        <v>296</v>
      </c>
      <c r="F38" s="5" t="s">
        <v>69</v>
      </c>
      <c r="G38" s="5" t="s">
        <v>296</v>
      </c>
      <c r="H38" s="7" t="n">
        <v>0</v>
      </c>
      <c r="I38" s="7" t="n">
        <v>10</v>
      </c>
      <c r="J38" s="7" t="n">
        <v>360</v>
      </c>
      <c r="K38" s="7" t="n">
        <v>90</v>
      </c>
      <c r="L38" s="5" t="s">
        <v>301</v>
      </c>
      <c r="M38" s="5" t="s">
        <v>311</v>
      </c>
      <c r="N38" s="7" t="n">
        <v>0</v>
      </c>
      <c r="O38" s="7" t="n">
        <v>3</v>
      </c>
      <c r="P38" s="7" t="n">
        <v>0</v>
      </c>
      <c r="Q38" s="7" t="n">
        <v>0</v>
      </c>
      <c r="R38" s="7" t="n">
        <v>0</v>
      </c>
      <c r="S38" s="7" t="n">
        <v>4</v>
      </c>
      <c r="T38" s="7" t="n">
        <v>3</v>
      </c>
      <c r="U38" s="5" t="s">
        <v>299</v>
      </c>
      <c r="V38" s="7" t="n">
        <v>0</v>
      </c>
      <c r="W38" s="7" t="n">
        <v>2</v>
      </c>
      <c r="X38" s="7" t="n">
        <v>1.5</v>
      </c>
      <c r="Y38" s="7" t="n">
        <v>3</v>
      </c>
      <c r="Z38" s="7" t="n">
        <v>0.5</v>
      </c>
      <c r="AA38" s="7" t="n">
        <v>5</v>
      </c>
      <c r="AB38" s="7" t="n">
        <v>8</v>
      </c>
      <c r="AC38" s="7" t="n">
        <v>2</v>
      </c>
      <c r="AD38" s="7" t="n">
        <v>0.2</v>
      </c>
      <c r="AE38" s="7" t="n">
        <v>3</v>
      </c>
      <c r="AF38" s="7" t="n">
        <v>1.5</v>
      </c>
      <c r="AG38" s="7" t="n">
        <v>0.2</v>
      </c>
      <c r="AH38" s="7" t="n">
        <v>5</v>
      </c>
      <c r="AI38" s="7" t="n">
        <v>10</v>
      </c>
      <c r="AJ38" s="7" t="n">
        <v>5</v>
      </c>
      <c r="AK38" s="7" t="n">
        <v>2</v>
      </c>
      <c r="AL38" s="7" t="n">
        <v>3</v>
      </c>
      <c r="AM38" s="7" t="n">
        <v>2</v>
      </c>
      <c r="AN38" s="7" t="n">
        <v>1.5</v>
      </c>
      <c r="AO38" s="7" t="n">
        <v>5</v>
      </c>
      <c r="AP38" s="7" t="n">
        <v>4</v>
      </c>
      <c r="AQ38" s="7" t="n">
        <v>0.4</v>
      </c>
      <c r="AR38" s="7" t="n">
        <v>5</v>
      </c>
      <c r="AS38" s="5"/>
    </row>
    <row r="39" customFormat="false" ht="15" hidden="false" customHeight="false" outlineLevel="0" collapsed="false">
      <c r="A39" s="5" t="s">
        <v>230</v>
      </c>
      <c r="B39" s="5" t="s">
        <v>86</v>
      </c>
      <c r="C39" s="7" t="n">
        <v>0</v>
      </c>
      <c r="D39" s="7" t="n">
        <v>0</v>
      </c>
      <c r="E39" s="5" t="s">
        <v>296</v>
      </c>
      <c r="F39" s="5" t="s">
        <v>69</v>
      </c>
      <c r="G39" s="5" t="s">
        <v>296</v>
      </c>
      <c r="H39" s="7" t="n">
        <v>0</v>
      </c>
      <c r="I39" s="7" t="n">
        <v>10</v>
      </c>
      <c r="J39" s="7" t="n">
        <v>360</v>
      </c>
      <c r="K39" s="7" t="n">
        <v>90</v>
      </c>
      <c r="L39" s="5" t="s">
        <v>301</v>
      </c>
      <c r="M39" s="5" t="s">
        <v>311</v>
      </c>
      <c r="N39" s="7" t="n">
        <v>0</v>
      </c>
      <c r="O39" s="7" t="n">
        <v>3</v>
      </c>
      <c r="P39" s="7" t="n">
        <v>0</v>
      </c>
      <c r="Q39" s="7" t="n">
        <v>0</v>
      </c>
      <c r="R39" s="7" t="n">
        <v>0</v>
      </c>
      <c r="S39" s="7" t="n">
        <v>4</v>
      </c>
      <c r="T39" s="7" t="n">
        <v>3</v>
      </c>
      <c r="U39" s="5" t="s">
        <v>299</v>
      </c>
      <c r="V39" s="7" t="n">
        <v>0</v>
      </c>
      <c r="W39" s="7" t="n">
        <v>2</v>
      </c>
      <c r="X39" s="7" t="n">
        <v>1.5</v>
      </c>
      <c r="Y39" s="7" t="n">
        <v>3</v>
      </c>
      <c r="Z39" s="7" t="n">
        <v>0.5</v>
      </c>
      <c r="AA39" s="7" t="n">
        <v>5</v>
      </c>
      <c r="AB39" s="7" t="n">
        <v>9</v>
      </c>
      <c r="AC39" s="7" t="n">
        <v>3</v>
      </c>
      <c r="AD39" s="7" t="n">
        <v>0.15</v>
      </c>
      <c r="AE39" s="7" t="n">
        <v>3</v>
      </c>
      <c r="AF39" s="7" t="n">
        <v>1.5</v>
      </c>
      <c r="AG39" s="7" t="n">
        <v>0.2</v>
      </c>
      <c r="AH39" s="7" t="n">
        <v>5</v>
      </c>
      <c r="AI39" s="7" t="n">
        <v>10</v>
      </c>
      <c r="AJ39" s="7" t="n">
        <v>5</v>
      </c>
      <c r="AK39" s="7" t="n">
        <v>2</v>
      </c>
      <c r="AL39" s="7" t="n">
        <v>3</v>
      </c>
      <c r="AM39" s="7" t="n">
        <v>2</v>
      </c>
      <c r="AN39" s="7" t="n">
        <v>1.5</v>
      </c>
      <c r="AO39" s="7" t="n">
        <v>5</v>
      </c>
      <c r="AP39" s="7" t="n">
        <v>4</v>
      </c>
      <c r="AQ39" s="7" t="n">
        <v>0.4</v>
      </c>
      <c r="AR39" s="7" t="n">
        <v>5</v>
      </c>
      <c r="AS39" s="5"/>
    </row>
    <row r="40" customFormat="false" ht="15" hidden="false" customHeight="false" outlineLevel="0" collapsed="false">
      <c r="A40" s="5" t="s">
        <v>92</v>
      </c>
      <c r="B40" s="5" t="s">
        <v>89</v>
      </c>
      <c r="C40" s="7" t="n">
        <v>0</v>
      </c>
      <c r="D40" s="7" t="n">
        <v>0</v>
      </c>
      <c r="E40" s="5" t="s">
        <v>296</v>
      </c>
      <c r="F40" s="5" t="s">
        <v>69</v>
      </c>
      <c r="G40" s="5" t="s">
        <v>296</v>
      </c>
      <c r="H40" s="7" t="n">
        <v>0</v>
      </c>
      <c r="I40" s="7" t="n">
        <v>6</v>
      </c>
      <c r="J40" s="7" t="n">
        <v>360</v>
      </c>
      <c r="K40" s="7" t="n">
        <v>90</v>
      </c>
      <c r="L40" s="5" t="s">
        <v>301</v>
      </c>
      <c r="M40" s="5" t="s">
        <v>312</v>
      </c>
      <c r="N40" s="7" t="n">
        <v>0</v>
      </c>
      <c r="O40" s="7" t="n">
        <v>3</v>
      </c>
      <c r="P40" s="7" t="n">
        <v>0</v>
      </c>
      <c r="Q40" s="7" t="n">
        <v>0</v>
      </c>
      <c r="R40" s="7" t="n">
        <v>0</v>
      </c>
      <c r="S40" s="7" t="n">
        <v>4</v>
      </c>
      <c r="T40" s="7" t="n">
        <v>3</v>
      </c>
      <c r="U40" s="5" t="s">
        <v>299</v>
      </c>
      <c r="V40" s="7" t="n">
        <v>0</v>
      </c>
      <c r="W40" s="7" t="n">
        <v>2</v>
      </c>
      <c r="X40" s="7" t="n">
        <v>1.5</v>
      </c>
      <c r="Y40" s="7" t="n">
        <v>3</v>
      </c>
      <c r="Z40" s="7" t="n">
        <v>0.5</v>
      </c>
      <c r="AA40" s="7" t="n">
        <v>5</v>
      </c>
      <c r="AB40" s="7" t="n">
        <v>10</v>
      </c>
      <c r="AC40" s="7" t="n">
        <v>3</v>
      </c>
      <c r="AD40" s="7" t="n">
        <v>0.2</v>
      </c>
      <c r="AE40" s="7" t="n">
        <v>3</v>
      </c>
      <c r="AF40" s="7" t="n">
        <v>1.5</v>
      </c>
      <c r="AG40" s="7" t="n">
        <v>0.2</v>
      </c>
      <c r="AH40" s="7" t="n">
        <v>5</v>
      </c>
      <c r="AI40" s="7" t="n">
        <v>10</v>
      </c>
      <c r="AJ40" s="7" t="n">
        <v>5</v>
      </c>
      <c r="AK40" s="7" t="n">
        <v>2</v>
      </c>
      <c r="AL40" s="7" t="n">
        <v>3</v>
      </c>
      <c r="AM40" s="7" t="n">
        <v>2</v>
      </c>
      <c r="AN40" s="7" t="n">
        <v>1.5</v>
      </c>
      <c r="AO40" s="7" t="n">
        <v>5</v>
      </c>
      <c r="AP40" s="7" t="n">
        <v>4</v>
      </c>
      <c r="AQ40" s="7" t="n">
        <v>0.4</v>
      </c>
      <c r="AR40" s="7" t="n">
        <v>5</v>
      </c>
      <c r="AS40" s="5"/>
    </row>
    <row r="41" customFormat="false" ht="15" hidden="false" customHeight="false" outlineLevel="0" collapsed="false">
      <c r="A41" s="5" t="s">
        <v>234</v>
      </c>
      <c r="B41" s="5" t="s">
        <v>89</v>
      </c>
      <c r="C41" s="7" t="n">
        <v>0</v>
      </c>
      <c r="D41" s="7" t="n">
        <v>0</v>
      </c>
      <c r="E41" s="5" t="s">
        <v>296</v>
      </c>
      <c r="F41" s="5" t="s">
        <v>69</v>
      </c>
      <c r="G41" s="5" t="s">
        <v>296</v>
      </c>
      <c r="H41" s="7" t="n">
        <v>0</v>
      </c>
      <c r="I41" s="7" t="n">
        <v>6</v>
      </c>
      <c r="J41" s="7" t="n">
        <v>360</v>
      </c>
      <c r="K41" s="7" t="n">
        <v>90</v>
      </c>
      <c r="L41" s="5" t="s">
        <v>301</v>
      </c>
      <c r="M41" s="5" t="s">
        <v>312</v>
      </c>
      <c r="N41" s="7" t="n">
        <v>0</v>
      </c>
      <c r="O41" s="7" t="n">
        <v>3</v>
      </c>
      <c r="P41" s="7" t="n">
        <v>0</v>
      </c>
      <c r="Q41" s="7" t="n">
        <v>0</v>
      </c>
      <c r="R41" s="7" t="n">
        <v>0</v>
      </c>
      <c r="S41" s="7" t="n">
        <v>4</v>
      </c>
      <c r="T41" s="7" t="n">
        <v>3</v>
      </c>
      <c r="U41" s="5" t="s">
        <v>299</v>
      </c>
      <c r="V41" s="7" t="n">
        <v>0</v>
      </c>
      <c r="W41" s="7" t="n">
        <v>2</v>
      </c>
      <c r="X41" s="7" t="n">
        <v>1.5</v>
      </c>
      <c r="Y41" s="7" t="n">
        <v>3</v>
      </c>
      <c r="Z41" s="7" t="n">
        <v>0.5</v>
      </c>
      <c r="AA41" s="7" t="n">
        <v>5</v>
      </c>
      <c r="AB41" s="7" t="n">
        <v>10</v>
      </c>
      <c r="AC41" s="7" t="n">
        <v>3</v>
      </c>
      <c r="AD41" s="7" t="n">
        <v>0.2</v>
      </c>
      <c r="AE41" s="7" t="n">
        <v>3</v>
      </c>
      <c r="AF41" s="7" t="n">
        <v>1.5</v>
      </c>
      <c r="AG41" s="7" t="n">
        <v>0.2</v>
      </c>
      <c r="AH41" s="7" t="n">
        <v>5</v>
      </c>
      <c r="AI41" s="7" t="n">
        <v>10</v>
      </c>
      <c r="AJ41" s="7" t="n">
        <v>5</v>
      </c>
      <c r="AK41" s="7" t="n">
        <v>3</v>
      </c>
      <c r="AL41" s="7" t="n">
        <v>4</v>
      </c>
      <c r="AM41" s="7" t="n">
        <v>2</v>
      </c>
      <c r="AN41" s="7" t="n">
        <v>1.5</v>
      </c>
      <c r="AO41" s="7" t="n">
        <v>5</v>
      </c>
      <c r="AP41" s="7" t="n">
        <v>4</v>
      </c>
      <c r="AQ41" s="7" t="n">
        <v>0.4</v>
      </c>
      <c r="AR41" s="7" t="n">
        <v>5</v>
      </c>
      <c r="AS41" s="5"/>
    </row>
    <row r="42" customFormat="false" ht="15" hidden="false" customHeight="false" outlineLevel="0" collapsed="false">
      <c r="A42" s="5" t="s">
        <v>237</v>
      </c>
      <c r="B42" s="5" t="s">
        <v>89</v>
      </c>
      <c r="C42" s="7" t="n">
        <v>0</v>
      </c>
      <c r="D42" s="7" t="n">
        <v>0</v>
      </c>
      <c r="E42" s="5" t="s">
        <v>296</v>
      </c>
      <c r="F42" s="5" t="s">
        <v>69</v>
      </c>
      <c r="G42" s="5" t="s">
        <v>296</v>
      </c>
      <c r="H42" s="7" t="n">
        <v>0</v>
      </c>
      <c r="I42" s="7" t="n">
        <v>6</v>
      </c>
      <c r="J42" s="7" t="n">
        <v>360</v>
      </c>
      <c r="K42" s="7" t="n">
        <v>90</v>
      </c>
      <c r="L42" s="5" t="s">
        <v>301</v>
      </c>
      <c r="M42" s="5" t="s">
        <v>312</v>
      </c>
      <c r="N42" s="7" t="n">
        <v>0</v>
      </c>
      <c r="O42" s="7" t="n">
        <v>3</v>
      </c>
      <c r="P42" s="7" t="n">
        <v>0</v>
      </c>
      <c r="Q42" s="7" t="n">
        <v>0</v>
      </c>
      <c r="R42" s="7" t="n">
        <v>0</v>
      </c>
      <c r="S42" s="7" t="n">
        <v>4</v>
      </c>
      <c r="T42" s="7" t="n">
        <v>3</v>
      </c>
      <c r="U42" s="5" t="s">
        <v>299</v>
      </c>
      <c r="V42" s="7" t="n">
        <v>0.5</v>
      </c>
      <c r="W42" s="7" t="n">
        <v>3</v>
      </c>
      <c r="X42" s="7" t="n">
        <v>1.5</v>
      </c>
      <c r="Y42" s="7" t="n">
        <v>3</v>
      </c>
      <c r="Z42" s="7" t="n">
        <v>0.5</v>
      </c>
      <c r="AA42" s="7" t="n">
        <v>5</v>
      </c>
      <c r="AB42" s="7" t="n">
        <v>10</v>
      </c>
      <c r="AC42" s="7" t="n">
        <v>3</v>
      </c>
      <c r="AD42" s="7" t="n">
        <v>0.2</v>
      </c>
      <c r="AE42" s="7" t="n">
        <v>3</v>
      </c>
      <c r="AF42" s="7" t="n">
        <v>1.5</v>
      </c>
      <c r="AG42" s="7" t="n">
        <v>0.2</v>
      </c>
      <c r="AH42" s="7" t="n">
        <v>5</v>
      </c>
      <c r="AI42" s="7" t="n">
        <v>10</v>
      </c>
      <c r="AJ42" s="7" t="n">
        <v>5</v>
      </c>
      <c r="AK42" s="7" t="n">
        <v>3.5</v>
      </c>
      <c r="AL42" s="7" t="n">
        <v>4.5</v>
      </c>
      <c r="AM42" s="7" t="n">
        <v>2</v>
      </c>
      <c r="AN42" s="7" t="n">
        <v>1.5</v>
      </c>
      <c r="AO42" s="7" t="n">
        <v>5</v>
      </c>
      <c r="AP42" s="7" t="n">
        <v>4</v>
      </c>
      <c r="AQ42" s="7" t="n">
        <v>0.4</v>
      </c>
      <c r="AR42" s="7" t="n">
        <v>5</v>
      </c>
      <c r="AS42" s="5"/>
    </row>
    <row r="43" customFormat="false" ht="15" hidden="false" customHeight="false" outlineLevel="0" collapsed="false">
      <c r="A43" s="5" t="s">
        <v>241</v>
      </c>
      <c r="B43" s="5" t="s">
        <v>89</v>
      </c>
      <c r="C43" s="7" t="n">
        <v>0</v>
      </c>
      <c r="D43" s="7" t="n">
        <v>0</v>
      </c>
      <c r="E43" s="5" t="s">
        <v>296</v>
      </c>
      <c r="F43" s="5" t="s">
        <v>69</v>
      </c>
      <c r="G43" s="5" t="s">
        <v>296</v>
      </c>
      <c r="H43" s="7" t="n">
        <v>0</v>
      </c>
      <c r="I43" s="7" t="n">
        <v>6</v>
      </c>
      <c r="J43" s="7" t="n">
        <v>360</v>
      </c>
      <c r="K43" s="7" t="n">
        <v>90</v>
      </c>
      <c r="L43" s="5" t="s">
        <v>301</v>
      </c>
      <c r="M43" s="5" t="s">
        <v>313</v>
      </c>
      <c r="N43" s="7" t="n">
        <v>0</v>
      </c>
      <c r="O43" s="7" t="n">
        <v>3</v>
      </c>
      <c r="P43" s="7" t="n">
        <v>0</v>
      </c>
      <c r="Q43" s="7" t="n">
        <v>0</v>
      </c>
      <c r="R43" s="7" t="n">
        <v>0</v>
      </c>
      <c r="S43" s="7" t="n">
        <v>4</v>
      </c>
      <c r="T43" s="7" t="n">
        <v>3</v>
      </c>
      <c r="U43" s="5" t="s">
        <v>299</v>
      </c>
      <c r="V43" s="7" t="n">
        <v>0</v>
      </c>
      <c r="W43" s="7" t="n">
        <v>2</v>
      </c>
      <c r="X43" s="7" t="n">
        <v>1.5</v>
      </c>
      <c r="Y43" s="7" t="n">
        <v>3</v>
      </c>
      <c r="Z43" s="7" t="n">
        <v>0.5</v>
      </c>
      <c r="AA43" s="7" t="n">
        <v>5</v>
      </c>
      <c r="AB43" s="7" t="n">
        <v>10</v>
      </c>
      <c r="AC43" s="7" t="n">
        <v>3</v>
      </c>
      <c r="AD43" s="7" t="n">
        <v>0.2</v>
      </c>
      <c r="AE43" s="7" t="n">
        <v>3</v>
      </c>
      <c r="AF43" s="7" t="n">
        <v>3</v>
      </c>
      <c r="AG43" s="7" t="n">
        <v>0.3</v>
      </c>
      <c r="AH43" s="7" t="n">
        <v>5</v>
      </c>
      <c r="AI43" s="7" t="n">
        <v>10</v>
      </c>
      <c r="AJ43" s="7" t="n">
        <v>5</v>
      </c>
      <c r="AK43" s="7" t="n">
        <v>2</v>
      </c>
      <c r="AL43" s="7" t="n">
        <v>3</v>
      </c>
      <c r="AM43" s="7" t="n">
        <v>2</v>
      </c>
      <c r="AN43" s="7" t="n">
        <v>1.5</v>
      </c>
      <c r="AO43" s="7" t="n">
        <v>5</v>
      </c>
      <c r="AP43" s="7" t="n">
        <v>4</v>
      </c>
      <c r="AQ43" s="7" t="n">
        <v>0.4</v>
      </c>
      <c r="AR43" s="7" t="n">
        <v>5</v>
      </c>
      <c r="AS43" s="5"/>
    </row>
    <row r="44" customFormat="false" ht="15" hidden="false" customHeight="false" outlineLevel="0" collapsed="false">
      <c r="A44" s="5" t="s">
        <v>244</v>
      </c>
      <c r="B44" s="5" t="s">
        <v>89</v>
      </c>
      <c r="C44" s="7" t="n">
        <v>0</v>
      </c>
      <c r="D44" s="7" t="n">
        <v>0</v>
      </c>
      <c r="E44" s="5" t="s">
        <v>296</v>
      </c>
      <c r="F44" s="5" t="s">
        <v>69</v>
      </c>
      <c r="G44" s="5" t="s">
        <v>296</v>
      </c>
      <c r="H44" s="7" t="n">
        <v>0</v>
      </c>
      <c r="I44" s="7" t="n">
        <v>6</v>
      </c>
      <c r="J44" s="7" t="n">
        <v>360</v>
      </c>
      <c r="K44" s="7" t="n">
        <v>90</v>
      </c>
      <c r="L44" s="5" t="s">
        <v>301</v>
      </c>
      <c r="M44" s="5" t="s">
        <v>313</v>
      </c>
      <c r="N44" s="7" t="n">
        <v>0</v>
      </c>
      <c r="O44" s="7" t="n">
        <v>3</v>
      </c>
      <c r="P44" s="7" t="n">
        <v>0</v>
      </c>
      <c r="Q44" s="7" t="n">
        <v>0</v>
      </c>
      <c r="R44" s="7" t="n">
        <v>0</v>
      </c>
      <c r="S44" s="7" t="n">
        <v>4</v>
      </c>
      <c r="T44" s="7" t="n">
        <v>3</v>
      </c>
      <c r="U44" s="5" t="s">
        <v>299</v>
      </c>
      <c r="V44" s="7" t="n">
        <v>0.4</v>
      </c>
      <c r="W44" s="7" t="n">
        <v>3</v>
      </c>
      <c r="X44" s="7" t="n">
        <v>1.5</v>
      </c>
      <c r="Y44" s="7" t="n">
        <v>3</v>
      </c>
      <c r="Z44" s="7" t="n">
        <v>0.5</v>
      </c>
      <c r="AA44" s="7" t="n">
        <v>5</v>
      </c>
      <c r="AB44" s="7" t="n">
        <v>10</v>
      </c>
      <c r="AC44" s="7" t="n">
        <v>3</v>
      </c>
      <c r="AD44" s="7" t="n">
        <v>0.2</v>
      </c>
      <c r="AE44" s="7" t="n">
        <v>3</v>
      </c>
      <c r="AF44" s="7" t="n">
        <v>5</v>
      </c>
      <c r="AG44" s="7" t="n">
        <v>0.4</v>
      </c>
      <c r="AH44" s="7" t="n">
        <v>5</v>
      </c>
      <c r="AI44" s="7" t="n">
        <v>10</v>
      </c>
      <c r="AJ44" s="7" t="n">
        <v>5</v>
      </c>
      <c r="AK44" s="7" t="n">
        <v>2</v>
      </c>
      <c r="AL44" s="7" t="n">
        <v>3</v>
      </c>
      <c r="AM44" s="7" t="n">
        <v>2</v>
      </c>
      <c r="AN44" s="7" t="n">
        <v>1.5</v>
      </c>
      <c r="AO44" s="7" t="n">
        <v>5</v>
      </c>
      <c r="AP44" s="7" t="n">
        <v>4</v>
      </c>
      <c r="AQ44" s="7" t="n">
        <v>0.4</v>
      </c>
      <c r="AR44" s="7" t="n">
        <v>5</v>
      </c>
      <c r="AS44" s="5"/>
    </row>
    <row r="45" customFormat="false" ht="15" hidden="false" customHeight="false" outlineLevel="0" collapsed="false">
      <c r="A45" s="5" t="s">
        <v>248</v>
      </c>
      <c r="B45" s="5" t="s">
        <v>89</v>
      </c>
      <c r="C45" s="7" t="n">
        <v>0</v>
      </c>
      <c r="D45" s="7" t="n">
        <v>0</v>
      </c>
      <c r="E45" s="5" t="s">
        <v>296</v>
      </c>
      <c r="F45" s="5" t="s">
        <v>69</v>
      </c>
      <c r="G45" s="5" t="s">
        <v>296</v>
      </c>
      <c r="H45" s="7" t="n">
        <v>0</v>
      </c>
      <c r="I45" s="7" t="n">
        <v>6</v>
      </c>
      <c r="J45" s="7" t="n">
        <v>360</v>
      </c>
      <c r="K45" s="7" t="n">
        <v>90</v>
      </c>
      <c r="L45" s="5" t="s">
        <v>301</v>
      </c>
      <c r="M45" s="5" t="s">
        <v>312</v>
      </c>
      <c r="N45" s="7" t="n">
        <v>0</v>
      </c>
      <c r="O45" s="7" t="n">
        <v>3</v>
      </c>
      <c r="P45" s="7" t="n">
        <v>0</v>
      </c>
      <c r="Q45" s="7" t="n">
        <v>0</v>
      </c>
      <c r="R45" s="7" t="n">
        <v>0</v>
      </c>
      <c r="S45" s="7" t="n">
        <v>4</v>
      </c>
      <c r="T45" s="7" t="n">
        <v>3</v>
      </c>
      <c r="U45" s="5" t="s">
        <v>299</v>
      </c>
      <c r="V45" s="7" t="n">
        <v>0</v>
      </c>
      <c r="W45" s="7" t="n">
        <v>2</v>
      </c>
      <c r="X45" s="7" t="n">
        <v>1.5</v>
      </c>
      <c r="Y45" s="7" t="n">
        <v>3</v>
      </c>
      <c r="Z45" s="7" t="n">
        <v>0.5</v>
      </c>
      <c r="AA45" s="7" t="n">
        <v>5</v>
      </c>
      <c r="AB45" s="7" t="n">
        <v>10</v>
      </c>
      <c r="AC45" s="7" t="n">
        <v>3</v>
      </c>
      <c r="AD45" s="7" t="n">
        <v>0.2</v>
      </c>
      <c r="AE45" s="7" t="n">
        <v>3</v>
      </c>
      <c r="AF45" s="7" t="n">
        <v>1.5</v>
      </c>
      <c r="AG45" s="7" t="n">
        <v>0.2</v>
      </c>
      <c r="AH45" s="7" t="n">
        <v>5</v>
      </c>
      <c r="AI45" s="7" t="n">
        <v>10</v>
      </c>
      <c r="AJ45" s="7" t="n">
        <v>5</v>
      </c>
      <c r="AK45" s="7" t="n">
        <v>2</v>
      </c>
      <c r="AL45" s="7" t="n">
        <v>3</v>
      </c>
      <c r="AM45" s="7" t="n">
        <v>2</v>
      </c>
      <c r="AN45" s="7" t="n">
        <v>1.5</v>
      </c>
      <c r="AO45" s="7" t="n">
        <v>5</v>
      </c>
      <c r="AP45" s="7" t="n">
        <v>4</v>
      </c>
      <c r="AQ45" s="7" t="n">
        <v>0.4</v>
      </c>
      <c r="AR45" s="7" t="n">
        <v>5</v>
      </c>
      <c r="AS45" s="5"/>
    </row>
    <row r="46" customFormat="false" ht="15" hidden="false" customHeight="false" outlineLevel="0" collapsed="false">
      <c r="A46" s="5" t="s">
        <v>251</v>
      </c>
      <c r="B46" s="5" t="s">
        <v>89</v>
      </c>
      <c r="C46" s="7" t="n">
        <v>0</v>
      </c>
      <c r="D46" s="7" t="n">
        <v>0</v>
      </c>
      <c r="E46" s="5" t="s">
        <v>296</v>
      </c>
      <c r="F46" s="5" t="s">
        <v>69</v>
      </c>
      <c r="G46" s="5" t="s">
        <v>296</v>
      </c>
      <c r="H46" s="7" t="n">
        <v>0</v>
      </c>
      <c r="I46" s="7" t="n">
        <v>6</v>
      </c>
      <c r="J46" s="7" t="n">
        <v>360</v>
      </c>
      <c r="K46" s="7" t="n">
        <v>90</v>
      </c>
      <c r="L46" s="5" t="s">
        <v>301</v>
      </c>
      <c r="M46" s="5" t="s">
        <v>312</v>
      </c>
      <c r="N46" s="7" t="n">
        <v>0.5</v>
      </c>
      <c r="O46" s="7" t="n">
        <v>4</v>
      </c>
      <c r="P46" s="7" t="n">
        <v>0</v>
      </c>
      <c r="Q46" s="7" t="n">
        <v>0</v>
      </c>
      <c r="R46" s="7" t="n">
        <v>0</v>
      </c>
      <c r="S46" s="7" t="n">
        <v>4</v>
      </c>
      <c r="T46" s="7" t="n">
        <v>3</v>
      </c>
      <c r="U46" s="5" t="s">
        <v>299</v>
      </c>
      <c r="V46" s="7" t="n">
        <v>0</v>
      </c>
      <c r="W46" s="7" t="n">
        <v>2</v>
      </c>
      <c r="X46" s="7" t="n">
        <v>1.5</v>
      </c>
      <c r="Y46" s="7" t="n">
        <v>3</v>
      </c>
      <c r="Z46" s="7" t="n">
        <v>0.5</v>
      </c>
      <c r="AA46" s="7" t="n">
        <v>5</v>
      </c>
      <c r="AB46" s="7" t="n">
        <v>10</v>
      </c>
      <c r="AC46" s="7" t="n">
        <v>3</v>
      </c>
      <c r="AD46" s="7" t="n">
        <v>0.2</v>
      </c>
      <c r="AE46" s="7" t="n">
        <v>3</v>
      </c>
      <c r="AF46" s="7" t="n">
        <v>1.5</v>
      </c>
      <c r="AG46" s="7" t="n">
        <v>0.2</v>
      </c>
      <c r="AH46" s="7" t="n">
        <v>5</v>
      </c>
      <c r="AI46" s="7" t="n">
        <v>10</v>
      </c>
      <c r="AJ46" s="7" t="n">
        <v>5</v>
      </c>
      <c r="AK46" s="7" t="n">
        <v>2.5</v>
      </c>
      <c r="AL46" s="7" t="n">
        <v>3.5</v>
      </c>
      <c r="AM46" s="7" t="n">
        <v>2</v>
      </c>
      <c r="AN46" s="7" t="n">
        <v>1.5</v>
      </c>
      <c r="AO46" s="7" t="n">
        <v>5</v>
      </c>
      <c r="AP46" s="7" t="n">
        <v>4</v>
      </c>
      <c r="AQ46" s="7" t="n">
        <v>0.4</v>
      </c>
      <c r="AR46" s="7" t="n">
        <v>5</v>
      </c>
      <c r="AS4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8"/>
    <col collapsed="false" customWidth="true" hidden="false" outlineLevel="0" max="10" min="10" style="1" width="9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0"/>
  </cols>
  <sheetData>
    <row r="1" customFormat="false" ht="30" hidden="false" customHeight="true" outlineLevel="0" collapsed="false">
      <c r="A1" s="4" t="s">
        <v>21</v>
      </c>
      <c r="B1" s="4" t="s">
        <v>93</v>
      </c>
      <c r="C1" s="4" t="s">
        <v>314</v>
      </c>
      <c r="D1" s="4" t="s">
        <v>96</v>
      </c>
      <c r="E1" s="4" t="s">
        <v>315</v>
      </c>
      <c r="F1" s="4" t="s">
        <v>316</v>
      </c>
      <c r="G1" s="4" t="s">
        <v>317</v>
      </c>
      <c r="H1" s="4" t="s">
        <v>318</v>
      </c>
      <c r="I1" s="4" t="s">
        <v>319</v>
      </c>
      <c r="J1" s="4" t="s">
        <v>320</v>
      </c>
      <c r="K1" s="4" t="s">
        <v>321</v>
      </c>
      <c r="L1" s="4" t="s">
        <v>322</v>
      </c>
      <c r="M1" s="4" t="s">
        <v>323</v>
      </c>
      <c r="N1" s="4" t="s">
        <v>324</v>
      </c>
      <c r="O1" s="4" t="s">
        <v>325</v>
      </c>
      <c r="P1" s="4" t="s">
        <v>326</v>
      </c>
      <c r="Q1" s="4" t="s">
        <v>327</v>
      </c>
    </row>
    <row r="2" customFormat="false" ht="15" hidden="false" customHeight="false" outlineLevel="0" collapsed="false">
      <c r="A2" s="8" t="s">
        <v>66</v>
      </c>
      <c r="B2" s="8"/>
      <c r="C2" s="8" t="s">
        <v>328</v>
      </c>
      <c r="D2" s="8" t="n">
        <v>1</v>
      </c>
      <c r="E2" s="9" t="n">
        <f aca="false">INDEX(Türme!$N$2:$N$7,MATCH($A2,Türme!$A$2:$A$7,0))</f>
        <v>8</v>
      </c>
      <c r="F2" s="10" t="n">
        <f aca="false">MAX(0.1,INDEX(Türme!$O$2:$O$7,MATCH($A2,Türme!$A$2:$A$7,0)))</f>
        <v>1.6</v>
      </c>
      <c r="G2" s="9" t="n">
        <f aca="false">E2/F2</f>
        <v>5</v>
      </c>
      <c r="H2" s="9" t="n">
        <f aca="false">INDEX(Türme!$L$2:$L$7,MATCH($A2,Türme!$A$2:$A$7,0))</f>
        <v>6</v>
      </c>
      <c r="I2" s="9" t="n">
        <f aca="false">INDEX(Türme!$G$2:$G$7,MATCH($A2,Türme!$A$2:$A$7,0))</f>
        <v>110</v>
      </c>
      <c r="J2" s="9" t="n">
        <f aca="false">INDEX(Türme!$I$2:$I$7,MATCH($A2,Türme!$A$2:$A$7,0))</f>
        <v>5</v>
      </c>
      <c r="K2" s="9" t="n">
        <f aca="false">INDEX(Türme!$J$2:$J$7,MATCH($A2,Türme!$A$2:$A$7,0))</f>
        <v>0</v>
      </c>
      <c r="L2" s="11" t="n">
        <f aca="false">MIN(1,INDEX(Türme!$R$2:$R$7,MATCH($A2,Türme!$A$2:$A$7,0)))</f>
        <v>0</v>
      </c>
      <c r="M2" s="9" t="n">
        <f aca="false">INDEX(Türme!$T$2:$T$7,MATCH($A2,Türme!$A$2:$A$7,0))</f>
        <v>0</v>
      </c>
      <c r="N2" s="11" t="n">
        <f aca="false">MIN(1,INDEX(Türme!$U$2:$U$7,MATCH($A2,Türme!$A$2:$A$7,0)))</f>
        <v>0</v>
      </c>
      <c r="O2" s="9" t="n">
        <f aca="false">INDEX(Türme!$V$2:$V$7,MATCH($A2,Türme!$A$2:$A$7,0))</f>
        <v>0</v>
      </c>
      <c r="P2" s="11" t="n">
        <f aca="false">MIN(1,INDEX(Türme!$W$2:$W$7,MATCH($A2,Türme!$A$2:$A$7,0)))</f>
        <v>0</v>
      </c>
      <c r="Q2" s="11" t="n">
        <f aca="false">MIN(1,INDEX(Türme!$X$2:$X$7,MATCH($A2,Türme!$A$2:$A$7,0)))</f>
        <v>0</v>
      </c>
    </row>
    <row r="3" customFormat="false" ht="15" hidden="false" customHeight="false" outlineLevel="0" collapsed="false">
      <c r="A3" s="12" t="s">
        <v>66</v>
      </c>
      <c r="B3" s="12" t="n">
        <v>0</v>
      </c>
      <c r="C3" s="12" t="s">
        <v>126</v>
      </c>
      <c r="D3" s="12" t="n">
        <v>2</v>
      </c>
      <c r="E3" s="13" t="n">
        <f aca="false">INDEX(Türme!$N$2:$N$7,MATCH($A3,Türme!$A$2:$A$7,0)) + SUMIFS(Upgrades!$J$2:$J$37,Upgrades!$A$2:$A$37,$A3,Upgrades!$B$2:$B$37,$B3,Upgrades!$E$2:$E$37,"&lt;="&amp;$D3) + SUMIFS(Upgrades!$W$2:$W$37,Upgrades!$A$2:$A$37,$A3,Upgrades!$B$2:$B$37,$B3,Upgrades!$E$2:$E$37,"&lt;="&amp;$D3)</f>
        <v>9</v>
      </c>
      <c r="F3" s="14" t="n">
        <f aca="false">MAX(0.1,INDEX(Türme!$O$2:$O$7,MATCH($A3,Türme!$A$2:$A$7,0)) - SUMIFS(Upgrades!$M$2:$M$37,Upgrades!$A$2:$A$37,$A3,Upgrades!$B$2:$B$37,$B3,Upgrades!$E$2:$E$37,"&lt;="&amp;$D3) - SUMIFS(Upgrades!$Y$2:$Y$37,Upgrades!$A$2:$A$37,$A3,Upgrades!$B$2:$B$37,$B3,Upgrades!$E$2:$E$37,"&lt;="&amp;$D3))</f>
        <v>1.6</v>
      </c>
      <c r="G3" s="13" t="n">
        <f aca="false">E3/F3</f>
        <v>5.625</v>
      </c>
      <c r="H3" s="13" t="n">
        <f aca="false">INDEX(Türme!$L$2:$L$7,MATCH($A3,Türme!$A$2:$A$7,0)) + SUMIFS(Upgrades!$K$2:$K$37,Upgrades!$A$2:$A$37,$A3,Upgrades!$B$2:$B$37,$B3,Upgrades!$E$2:$E$37,"&lt;="&amp;$D3) + SUMIFS(Upgrades!$X$2:$X$37,Upgrades!$A$2:$A$37,$A3,Upgrades!$B$2:$B$37,$B3,Upgrades!$E$2:$E$37,"&lt;="&amp;$D3)</f>
        <v>6.4</v>
      </c>
      <c r="I3" s="13" t="n">
        <f aca="false">INDEX(Türme!$G$2:$G$7,MATCH($A3,Türme!$A$2:$A$7,0)) + SUMIFS(Upgrades!$O$2:$O$37,Upgrades!$A$2:$A$37,$A3,Upgrades!$B$2:$B$37,$B3,Upgrades!$E$2:$E$37,"&lt;="&amp;$D3) + SUMIFS(Upgrades!$U$2:$U$37,Upgrades!$A$2:$A$37,$A3,Upgrades!$B$2:$B$37,$B3,Upgrades!$E$2:$E$37,"&lt;="&amp;$D3)</f>
        <v>130</v>
      </c>
      <c r="J3" s="13" t="n">
        <f aca="false">INDEX(Türme!$I$2:$I$7,MATCH($A3,Türme!$A$2:$A$7,0)) + SUMIFS(Upgrades!$Z$2:$Z$37,Upgrades!$A$2:$A$37,$A3,Upgrades!$B$2:$B$37,$B3,Upgrades!$E$2:$E$37,"&lt;="&amp;$D3)</f>
        <v>5</v>
      </c>
      <c r="K3" s="13" t="n">
        <f aca="false">INDEX(Türme!$J$2:$J$7,MATCH($A3,Türme!$A$2:$A$7,0)) + SUMIFS(Upgrades!$AA$2:$AA$37,Upgrades!$A$2:$A$37,$A3,Upgrades!$B$2:$B$37,$B3,Upgrades!$E$2:$E$37,"&lt;="&amp;$D3)</f>
        <v>0</v>
      </c>
      <c r="L3" s="15" t="n">
        <f aca="false">MIN(1,INDEX(Türme!$R$2:$R$7,MATCH($A3,Türme!$A$2:$A$7,0)) + SUMIFS(Upgrades!$AB$2:$AB$37,Upgrades!$A$2:$A$37,$A3,Upgrades!$B$2:$B$37,$B3,Upgrades!$E$2:$E$37,"&lt;="&amp;$D3))</f>
        <v>0</v>
      </c>
      <c r="M3" s="13" t="n">
        <f aca="false">INDEX(Türme!$T$2:$T$7,MATCH($A3,Türme!$A$2:$A$7,0)) + SUMIFS(Upgrades!$AD$2:$AD$37,Upgrades!$A$2:$A$37,$A3,Upgrades!$B$2:$B$37,$B3,Upgrades!$E$2:$E$37,"&lt;="&amp;$D3)</f>
        <v>6</v>
      </c>
      <c r="N3" s="15" t="n">
        <f aca="false">MIN(1,INDEX(Türme!$U$2:$U$7,MATCH($A3,Türme!$A$2:$A$7,0)) + SUMIFS(Upgrades!$AE$2:$AE$37,Upgrades!$A$2:$A$37,$A3,Upgrades!$B$2:$B$37,$B3,Upgrades!$E$2:$E$37,"&lt;="&amp;$D3))</f>
        <v>0</v>
      </c>
      <c r="O3" s="13" t="n">
        <f aca="false">INDEX(Türme!$V$2:$V$7,MATCH($A3,Türme!$A$2:$A$7,0)) + SUMIFS(Upgrades!$AF$2:$AF$37,Upgrades!$A$2:$A$37,$A3,Upgrades!$B$2:$B$37,$B3,Upgrades!$E$2:$E$37,"&lt;="&amp;$D3)</f>
        <v>0</v>
      </c>
      <c r="P3" s="15" t="n">
        <f aca="false">MIN(1,INDEX(Türme!$W$2:$W$7,MATCH($A3,Türme!$A$2:$A$7,0)) + SUMIFS(Upgrades!$AG$2:$AG$37,Upgrades!$A$2:$A$37,$A3,Upgrades!$B$2:$B$37,$B3,Upgrades!$E$2:$E$37,"&lt;="&amp;$D3))</f>
        <v>0</v>
      </c>
      <c r="Q3" s="15" t="n">
        <f aca="false">MIN(1,INDEX(Türme!$X$2:$X$7,MATCH($A3,Türme!$A$2:$A$7,0)) + SUMIFS(Upgrades!$AH$2:$AH$37,Upgrades!$A$2:$A$37,$A3,Upgrades!$B$2:$B$37,$B3,Upgrades!$E$2:$E$37,"&lt;="&amp;$D3))</f>
        <v>0</v>
      </c>
    </row>
    <row r="4" customFormat="false" ht="15" hidden="false" customHeight="false" outlineLevel="0" collapsed="false">
      <c r="A4" s="12" t="s">
        <v>66</v>
      </c>
      <c r="B4" s="12" t="n">
        <v>0</v>
      </c>
      <c r="C4" s="12" t="s">
        <v>126</v>
      </c>
      <c r="D4" s="12" t="n">
        <v>3</v>
      </c>
      <c r="E4" s="13" t="n">
        <f aca="false">INDEX(Türme!$N$2:$N$7,MATCH($A4,Türme!$A$2:$A$7,0)) + SUMIFS(Upgrades!$J$2:$J$37,Upgrades!$A$2:$A$37,$A4,Upgrades!$B$2:$B$37,$B4,Upgrades!$E$2:$E$37,"&lt;="&amp;$D4) + SUMIFS(Upgrades!$W$2:$W$37,Upgrades!$A$2:$A$37,$A4,Upgrades!$B$2:$B$37,$B4,Upgrades!$E$2:$E$37,"&lt;="&amp;$D4)</f>
        <v>11</v>
      </c>
      <c r="F4" s="14" t="n">
        <f aca="false">MAX(0.1,INDEX(Türme!$O$2:$O$7,MATCH($A4,Türme!$A$2:$A$7,0)) - SUMIFS(Upgrades!$M$2:$M$37,Upgrades!$A$2:$A$37,$A4,Upgrades!$B$2:$B$37,$B4,Upgrades!$E$2:$E$37,"&lt;="&amp;$D4) - SUMIFS(Upgrades!$Y$2:$Y$37,Upgrades!$A$2:$A$37,$A4,Upgrades!$B$2:$B$37,$B4,Upgrades!$E$2:$E$37,"&lt;="&amp;$D4))</f>
        <v>1.45</v>
      </c>
      <c r="G4" s="13" t="n">
        <f aca="false">E4/F4</f>
        <v>7.58620689655172</v>
      </c>
      <c r="H4" s="13" t="n">
        <f aca="false">INDEX(Türme!$L$2:$L$7,MATCH($A4,Türme!$A$2:$A$7,0)) + SUMIFS(Upgrades!$K$2:$K$37,Upgrades!$A$2:$A$37,$A4,Upgrades!$B$2:$B$37,$B4,Upgrades!$E$2:$E$37,"&lt;="&amp;$D4) + SUMIFS(Upgrades!$X$2:$X$37,Upgrades!$A$2:$A$37,$A4,Upgrades!$B$2:$B$37,$B4,Upgrades!$E$2:$E$37,"&lt;="&amp;$D4)</f>
        <v>6.8</v>
      </c>
      <c r="I4" s="13" t="n">
        <f aca="false">INDEX(Türme!$G$2:$G$7,MATCH($A4,Türme!$A$2:$A$7,0)) + SUMIFS(Upgrades!$O$2:$O$37,Upgrades!$A$2:$A$37,$A4,Upgrades!$B$2:$B$37,$B4,Upgrades!$E$2:$E$37,"&lt;="&amp;$D4) + SUMIFS(Upgrades!$U$2:$U$37,Upgrades!$A$2:$A$37,$A4,Upgrades!$B$2:$B$37,$B4,Upgrades!$E$2:$E$37,"&lt;="&amp;$D4)</f>
        <v>160</v>
      </c>
      <c r="J4" s="13" t="n">
        <f aca="false">INDEX(Türme!$I$2:$I$7,MATCH($A4,Türme!$A$2:$A$7,0)) + SUMIFS(Upgrades!$Z$2:$Z$37,Upgrades!$A$2:$A$37,$A4,Upgrades!$B$2:$B$37,$B4,Upgrades!$E$2:$E$37,"&lt;="&amp;$D4)</f>
        <v>5</v>
      </c>
      <c r="K4" s="13" t="n">
        <f aca="false">INDEX(Türme!$J$2:$J$7,MATCH($A4,Türme!$A$2:$A$7,0)) + SUMIFS(Upgrades!$AA$2:$AA$37,Upgrades!$A$2:$A$37,$A4,Upgrades!$B$2:$B$37,$B4,Upgrades!$E$2:$E$37,"&lt;="&amp;$D4)</f>
        <v>0</v>
      </c>
      <c r="L4" s="15" t="n">
        <f aca="false">MIN(1,INDEX(Türme!$R$2:$R$7,MATCH($A4,Türme!$A$2:$A$7,0)) + SUMIFS(Upgrades!$AB$2:$AB$37,Upgrades!$A$2:$A$37,$A4,Upgrades!$B$2:$B$37,$B4,Upgrades!$E$2:$E$37,"&lt;="&amp;$D4))</f>
        <v>0.1</v>
      </c>
      <c r="M4" s="13" t="n">
        <f aca="false">INDEX(Türme!$T$2:$T$7,MATCH($A4,Türme!$A$2:$A$7,0)) + SUMIFS(Upgrades!$AD$2:$AD$37,Upgrades!$A$2:$A$37,$A4,Upgrades!$B$2:$B$37,$B4,Upgrades!$E$2:$E$37,"&lt;="&amp;$D4)</f>
        <v>14</v>
      </c>
      <c r="N4" s="15" t="n">
        <f aca="false">MIN(1,INDEX(Türme!$U$2:$U$7,MATCH($A4,Türme!$A$2:$A$7,0)) + SUMIFS(Upgrades!$AE$2:$AE$37,Upgrades!$A$2:$A$37,$A4,Upgrades!$B$2:$B$37,$B4,Upgrades!$E$2:$E$37,"&lt;="&amp;$D4))</f>
        <v>0</v>
      </c>
      <c r="O4" s="13" t="n">
        <f aca="false">INDEX(Türme!$V$2:$V$7,MATCH($A4,Türme!$A$2:$A$7,0)) + SUMIFS(Upgrades!$AF$2:$AF$37,Upgrades!$A$2:$A$37,$A4,Upgrades!$B$2:$B$37,$B4,Upgrades!$E$2:$E$37,"&lt;="&amp;$D4)</f>
        <v>0</v>
      </c>
      <c r="P4" s="15" t="n">
        <f aca="false">MIN(1,INDEX(Türme!$W$2:$W$7,MATCH($A4,Türme!$A$2:$A$7,0)) + SUMIFS(Upgrades!$AG$2:$AG$37,Upgrades!$A$2:$A$37,$A4,Upgrades!$B$2:$B$37,$B4,Upgrades!$E$2:$E$37,"&lt;="&amp;$D4))</f>
        <v>0</v>
      </c>
      <c r="Q4" s="15" t="n">
        <f aca="false">MIN(1,INDEX(Türme!$X$2:$X$7,MATCH($A4,Türme!$A$2:$A$7,0)) + SUMIFS(Upgrades!$AH$2:$AH$37,Upgrades!$A$2:$A$37,$A4,Upgrades!$B$2:$B$37,$B4,Upgrades!$E$2:$E$37,"&lt;="&amp;$D4))</f>
        <v>0</v>
      </c>
    </row>
    <row r="5" customFormat="false" ht="15" hidden="false" customHeight="false" outlineLevel="0" collapsed="false">
      <c r="A5" s="12" t="s">
        <v>66</v>
      </c>
      <c r="B5" s="12" t="n">
        <v>1</v>
      </c>
      <c r="C5" s="12" t="s">
        <v>133</v>
      </c>
      <c r="D5" s="12" t="n">
        <v>2</v>
      </c>
      <c r="E5" s="13" t="n">
        <f aca="false">INDEX(Türme!$N$2:$N$7,MATCH($A5,Türme!$A$2:$A$7,0)) + SUMIFS(Upgrades!$J$2:$J$37,Upgrades!$A$2:$A$37,$A5,Upgrades!$B$2:$B$37,$B5,Upgrades!$E$2:$E$37,"&lt;="&amp;$D5) + SUMIFS(Upgrades!$W$2:$W$37,Upgrades!$A$2:$A$37,$A5,Upgrades!$B$2:$B$37,$B5,Upgrades!$E$2:$E$37,"&lt;="&amp;$D5)</f>
        <v>8</v>
      </c>
      <c r="F5" s="14" t="n">
        <f aca="false">MAX(0.1,INDEX(Türme!$O$2:$O$7,MATCH($A5,Türme!$A$2:$A$7,0)) - SUMIFS(Upgrades!$M$2:$M$37,Upgrades!$A$2:$A$37,$A5,Upgrades!$B$2:$B$37,$B5,Upgrades!$E$2:$E$37,"&lt;="&amp;$D5) - SUMIFS(Upgrades!$Y$2:$Y$37,Upgrades!$A$2:$A$37,$A5,Upgrades!$B$2:$B$37,$B5,Upgrades!$E$2:$E$37,"&lt;="&amp;$D5))</f>
        <v>1.5</v>
      </c>
      <c r="G5" s="13" t="n">
        <f aca="false">E5/F5</f>
        <v>5.33333333333333</v>
      </c>
      <c r="H5" s="13" t="n">
        <f aca="false">INDEX(Türme!$L$2:$L$7,MATCH($A5,Türme!$A$2:$A$7,0)) + SUMIFS(Upgrades!$K$2:$K$37,Upgrades!$A$2:$A$37,$A5,Upgrades!$B$2:$B$37,$B5,Upgrades!$E$2:$E$37,"&lt;="&amp;$D5) + SUMIFS(Upgrades!$X$2:$X$37,Upgrades!$A$2:$A$37,$A5,Upgrades!$B$2:$B$37,$B5,Upgrades!$E$2:$E$37,"&lt;="&amp;$D5)</f>
        <v>6.3</v>
      </c>
      <c r="I5" s="13" t="n">
        <f aca="false">INDEX(Türme!$G$2:$G$7,MATCH($A5,Türme!$A$2:$A$7,0)) + SUMIFS(Upgrades!$O$2:$O$37,Upgrades!$A$2:$A$37,$A5,Upgrades!$B$2:$B$37,$B5,Upgrades!$E$2:$E$37,"&lt;="&amp;$D5) + SUMIFS(Upgrades!$U$2:$U$37,Upgrades!$A$2:$A$37,$A5,Upgrades!$B$2:$B$37,$B5,Upgrades!$E$2:$E$37,"&lt;="&amp;$D5)</f>
        <v>125</v>
      </c>
      <c r="J5" s="13" t="n">
        <f aca="false">INDEX(Türme!$I$2:$I$7,MATCH($A5,Türme!$A$2:$A$7,0)) + SUMIFS(Upgrades!$Z$2:$Z$37,Upgrades!$A$2:$A$37,$A5,Upgrades!$B$2:$B$37,$B5,Upgrades!$E$2:$E$37,"&lt;="&amp;$D5)</f>
        <v>5</v>
      </c>
      <c r="K5" s="13" t="n">
        <f aca="false">INDEX(Türme!$J$2:$J$7,MATCH($A5,Türme!$A$2:$A$7,0)) + SUMIFS(Upgrades!$AA$2:$AA$37,Upgrades!$A$2:$A$37,$A5,Upgrades!$B$2:$B$37,$B5,Upgrades!$E$2:$E$37,"&lt;="&amp;$D5)</f>
        <v>0</v>
      </c>
      <c r="L5" s="15" t="n">
        <f aca="false">MIN(1,INDEX(Türme!$R$2:$R$7,MATCH($A5,Türme!$A$2:$A$7,0)) + SUMIFS(Upgrades!$AB$2:$AB$37,Upgrades!$A$2:$A$37,$A5,Upgrades!$B$2:$B$37,$B5,Upgrades!$E$2:$E$37,"&lt;="&amp;$D5))</f>
        <v>0</v>
      </c>
      <c r="M5" s="13" t="n">
        <f aca="false">INDEX(Türme!$T$2:$T$7,MATCH($A5,Türme!$A$2:$A$7,0)) + SUMIFS(Upgrades!$AD$2:$AD$37,Upgrades!$A$2:$A$37,$A5,Upgrades!$B$2:$B$37,$B5,Upgrades!$E$2:$E$37,"&lt;="&amp;$D5)</f>
        <v>0</v>
      </c>
      <c r="N5" s="15" t="n">
        <f aca="false">MIN(1,INDEX(Türme!$U$2:$U$7,MATCH($A5,Türme!$A$2:$A$7,0)) + SUMIFS(Upgrades!$AE$2:$AE$37,Upgrades!$A$2:$A$37,$A5,Upgrades!$B$2:$B$37,$B5,Upgrades!$E$2:$E$37,"&lt;="&amp;$D5))</f>
        <v>0.1</v>
      </c>
      <c r="O5" s="13" t="n">
        <f aca="false">INDEX(Türme!$V$2:$V$7,MATCH($A5,Türme!$A$2:$A$7,0)) + SUMIFS(Upgrades!$AF$2:$AF$37,Upgrades!$A$2:$A$37,$A5,Upgrades!$B$2:$B$37,$B5,Upgrades!$E$2:$E$37,"&lt;="&amp;$D5)</f>
        <v>0</v>
      </c>
      <c r="P5" s="15" t="n">
        <f aca="false">MIN(1,INDEX(Türme!$W$2:$W$7,MATCH($A5,Türme!$A$2:$A$7,0)) + SUMIFS(Upgrades!$AG$2:$AG$37,Upgrades!$A$2:$A$37,$A5,Upgrades!$B$2:$B$37,$B5,Upgrades!$E$2:$E$37,"&lt;="&amp;$D5))</f>
        <v>0</v>
      </c>
      <c r="Q5" s="15" t="n">
        <f aca="false">MIN(1,INDEX(Türme!$X$2:$X$7,MATCH($A5,Türme!$A$2:$A$7,0)) + SUMIFS(Upgrades!$AH$2:$AH$37,Upgrades!$A$2:$A$37,$A5,Upgrades!$B$2:$B$37,$B5,Upgrades!$E$2:$E$37,"&lt;="&amp;$D5))</f>
        <v>0</v>
      </c>
    </row>
    <row r="6" customFormat="false" ht="15" hidden="false" customHeight="false" outlineLevel="0" collapsed="false">
      <c r="A6" s="12" t="s">
        <v>66</v>
      </c>
      <c r="B6" s="12" t="n">
        <v>1</v>
      </c>
      <c r="C6" s="12" t="s">
        <v>133</v>
      </c>
      <c r="D6" s="12" t="n">
        <v>3</v>
      </c>
      <c r="E6" s="13" t="n">
        <f aca="false">INDEX(Türme!$N$2:$N$7,MATCH($A6,Türme!$A$2:$A$7,0)) + SUMIFS(Upgrades!$J$2:$J$37,Upgrades!$A$2:$A$37,$A6,Upgrades!$B$2:$B$37,$B6,Upgrades!$E$2:$E$37,"&lt;="&amp;$D6) + SUMIFS(Upgrades!$W$2:$W$37,Upgrades!$A$2:$A$37,$A6,Upgrades!$B$2:$B$37,$B6,Upgrades!$E$2:$E$37,"&lt;="&amp;$D6)</f>
        <v>9</v>
      </c>
      <c r="F6" s="14" t="n">
        <f aca="false">MAX(0.1,INDEX(Türme!$O$2:$O$7,MATCH($A6,Türme!$A$2:$A$7,0)) - SUMIFS(Upgrades!$M$2:$M$37,Upgrades!$A$2:$A$37,$A6,Upgrades!$B$2:$B$37,$B6,Upgrades!$E$2:$E$37,"&lt;="&amp;$D6) - SUMIFS(Upgrades!$Y$2:$Y$37,Upgrades!$A$2:$A$37,$A6,Upgrades!$B$2:$B$37,$B6,Upgrades!$E$2:$E$37,"&lt;="&amp;$D6))</f>
        <v>1.4</v>
      </c>
      <c r="G6" s="13" t="n">
        <f aca="false">E6/F6</f>
        <v>6.42857142857143</v>
      </c>
      <c r="H6" s="13" t="n">
        <f aca="false">INDEX(Türme!$L$2:$L$7,MATCH($A6,Türme!$A$2:$A$7,0)) + SUMIFS(Upgrades!$K$2:$K$37,Upgrades!$A$2:$A$37,$A6,Upgrades!$B$2:$B$37,$B6,Upgrades!$E$2:$E$37,"&lt;="&amp;$D6) + SUMIFS(Upgrades!$X$2:$X$37,Upgrades!$A$2:$A$37,$A6,Upgrades!$B$2:$B$37,$B6,Upgrades!$E$2:$E$37,"&lt;="&amp;$D6)</f>
        <v>6.3</v>
      </c>
      <c r="I6" s="13" t="n">
        <f aca="false">INDEX(Türme!$G$2:$G$7,MATCH($A6,Türme!$A$2:$A$7,0)) + SUMIFS(Upgrades!$O$2:$O$37,Upgrades!$A$2:$A$37,$A6,Upgrades!$B$2:$B$37,$B6,Upgrades!$E$2:$E$37,"&lt;="&amp;$D6) + SUMIFS(Upgrades!$U$2:$U$37,Upgrades!$A$2:$A$37,$A6,Upgrades!$B$2:$B$37,$B6,Upgrades!$E$2:$E$37,"&lt;="&amp;$D6)</f>
        <v>150</v>
      </c>
      <c r="J6" s="13" t="n">
        <f aca="false">INDEX(Türme!$I$2:$I$7,MATCH($A6,Türme!$A$2:$A$7,0)) + SUMIFS(Upgrades!$Z$2:$Z$37,Upgrades!$A$2:$A$37,$A6,Upgrades!$B$2:$B$37,$B6,Upgrades!$E$2:$E$37,"&lt;="&amp;$D6)</f>
        <v>5</v>
      </c>
      <c r="K6" s="13" t="n">
        <f aca="false">INDEX(Türme!$J$2:$J$7,MATCH($A6,Türme!$A$2:$A$7,0)) + SUMIFS(Upgrades!$AA$2:$AA$37,Upgrades!$A$2:$A$37,$A6,Upgrades!$B$2:$B$37,$B6,Upgrades!$E$2:$E$37,"&lt;="&amp;$D6)</f>
        <v>0</v>
      </c>
      <c r="L6" s="15" t="n">
        <f aca="false">MIN(1,INDEX(Türme!$R$2:$R$7,MATCH($A6,Türme!$A$2:$A$7,0)) + SUMIFS(Upgrades!$AB$2:$AB$37,Upgrades!$A$2:$A$37,$A6,Upgrades!$B$2:$B$37,$B6,Upgrades!$E$2:$E$37,"&lt;="&amp;$D6))</f>
        <v>0</v>
      </c>
      <c r="M6" s="13" t="n">
        <f aca="false">INDEX(Türme!$T$2:$T$7,MATCH($A6,Türme!$A$2:$A$7,0)) + SUMIFS(Upgrades!$AD$2:$AD$37,Upgrades!$A$2:$A$37,$A6,Upgrades!$B$2:$B$37,$B6,Upgrades!$E$2:$E$37,"&lt;="&amp;$D6)</f>
        <v>4</v>
      </c>
      <c r="N6" s="15" t="n">
        <f aca="false">MIN(1,INDEX(Türme!$U$2:$U$7,MATCH($A6,Türme!$A$2:$A$7,0)) + SUMIFS(Upgrades!$AE$2:$AE$37,Upgrades!$A$2:$A$37,$A6,Upgrades!$B$2:$B$37,$B6,Upgrades!$E$2:$E$37,"&lt;="&amp;$D6))</f>
        <v>0.2</v>
      </c>
      <c r="O6" s="13" t="n">
        <f aca="false">INDEX(Türme!$V$2:$V$7,MATCH($A6,Türme!$A$2:$A$7,0)) + SUMIFS(Upgrades!$AF$2:$AF$37,Upgrades!$A$2:$A$37,$A6,Upgrades!$B$2:$B$37,$B6,Upgrades!$E$2:$E$37,"&lt;="&amp;$D6)</f>
        <v>0</v>
      </c>
      <c r="P6" s="15" t="n">
        <f aca="false">MIN(1,INDEX(Türme!$W$2:$W$7,MATCH($A6,Türme!$A$2:$A$7,0)) + SUMIFS(Upgrades!$AG$2:$AG$37,Upgrades!$A$2:$A$37,$A6,Upgrades!$B$2:$B$37,$B6,Upgrades!$E$2:$E$37,"&lt;="&amp;$D6))</f>
        <v>0</v>
      </c>
      <c r="Q6" s="15" t="n">
        <f aca="false">MIN(1,INDEX(Türme!$X$2:$X$7,MATCH($A6,Türme!$A$2:$A$7,0)) + SUMIFS(Upgrades!$AH$2:$AH$37,Upgrades!$A$2:$A$37,$A6,Upgrades!$B$2:$B$37,$B6,Upgrades!$E$2:$E$37,"&lt;="&amp;$D6))</f>
        <v>0</v>
      </c>
    </row>
    <row r="7" customFormat="false" ht="15" hidden="false" customHeight="false" outlineLevel="0" collapsed="false">
      <c r="A7" s="12" t="s">
        <v>66</v>
      </c>
      <c r="B7" s="12" t="n">
        <v>2</v>
      </c>
      <c r="C7" s="12" t="s">
        <v>140</v>
      </c>
      <c r="D7" s="12" t="n">
        <v>2</v>
      </c>
      <c r="E7" s="13" t="n">
        <f aca="false">INDEX(Türme!$N$2:$N$7,MATCH($A7,Türme!$A$2:$A$7,0)) + SUMIFS(Upgrades!$J$2:$J$37,Upgrades!$A$2:$A$37,$A7,Upgrades!$B$2:$B$37,$B7,Upgrades!$E$2:$E$37,"&lt;="&amp;$D7) + SUMIFS(Upgrades!$W$2:$W$37,Upgrades!$A$2:$A$37,$A7,Upgrades!$B$2:$B$37,$B7,Upgrades!$E$2:$E$37,"&lt;="&amp;$D7)</f>
        <v>8</v>
      </c>
      <c r="F7" s="14" t="n">
        <f aca="false">MAX(0.1,INDEX(Türme!$O$2:$O$7,MATCH($A7,Türme!$A$2:$A$7,0)) - SUMIFS(Upgrades!$M$2:$M$37,Upgrades!$A$2:$A$37,$A7,Upgrades!$B$2:$B$37,$B7,Upgrades!$E$2:$E$37,"&lt;="&amp;$D7) - SUMIFS(Upgrades!$Y$2:$Y$37,Upgrades!$A$2:$A$37,$A7,Upgrades!$B$2:$B$37,$B7,Upgrades!$E$2:$E$37,"&lt;="&amp;$D7))</f>
        <v>1.6</v>
      </c>
      <c r="G7" s="13" t="n">
        <f aca="false">E7/F7</f>
        <v>5</v>
      </c>
      <c r="H7" s="13" t="n">
        <f aca="false">INDEX(Türme!$L$2:$L$7,MATCH($A7,Türme!$A$2:$A$7,0)) + SUMIFS(Upgrades!$K$2:$K$37,Upgrades!$A$2:$A$37,$A7,Upgrades!$B$2:$B$37,$B7,Upgrades!$E$2:$E$37,"&lt;="&amp;$D7) + SUMIFS(Upgrades!$X$2:$X$37,Upgrades!$A$2:$A$37,$A7,Upgrades!$B$2:$B$37,$B7,Upgrades!$E$2:$E$37,"&lt;="&amp;$D7)</f>
        <v>6</v>
      </c>
      <c r="I7" s="13" t="n">
        <f aca="false">INDEX(Türme!$G$2:$G$7,MATCH($A7,Türme!$A$2:$A$7,0)) + SUMIFS(Upgrades!$O$2:$O$37,Upgrades!$A$2:$A$37,$A7,Upgrades!$B$2:$B$37,$B7,Upgrades!$E$2:$E$37,"&lt;="&amp;$D7) + SUMIFS(Upgrades!$U$2:$U$37,Upgrades!$A$2:$A$37,$A7,Upgrades!$B$2:$B$37,$B7,Upgrades!$E$2:$E$37,"&lt;="&amp;$D7)</f>
        <v>190</v>
      </c>
      <c r="J7" s="13" t="n">
        <f aca="false">INDEX(Türme!$I$2:$I$7,MATCH($A7,Türme!$A$2:$A$7,0)) + SUMIFS(Upgrades!$Z$2:$Z$37,Upgrades!$A$2:$A$37,$A7,Upgrades!$B$2:$B$37,$B7,Upgrades!$E$2:$E$37,"&lt;="&amp;$D7)</f>
        <v>30</v>
      </c>
      <c r="K7" s="13" t="n">
        <f aca="false">INDEX(Türme!$J$2:$J$7,MATCH($A7,Türme!$A$2:$A$7,0)) + SUMIFS(Upgrades!$AA$2:$AA$37,Upgrades!$A$2:$A$37,$A7,Upgrades!$B$2:$B$37,$B7,Upgrades!$E$2:$E$37,"&lt;="&amp;$D7)</f>
        <v>15</v>
      </c>
      <c r="L7" s="15" t="n">
        <f aca="false">MIN(1,INDEX(Türme!$R$2:$R$7,MATCH($A7,Türme!$A$2:$A$7,0)) + SUMIFS(Upgrades!$AB$2:$AB$37,Upgrades!$A$2:$A$37,$A7,Upgrades!$B$2:$B$37,$B7,Upgrades!$E$2:$E$37,"&lt;="&amp;$D7))</f>
        <v>0</v>
      </c>
      <c r="M7" s="13" t="n">
        <f aca="false">INDEX(Türme!$T$2:$T$7,MATCH($A7,Türme!$A$2:$A$7,0)) + SUMIFS(Upgrades!$AD$2:$AD$37,Upgrades!$A$2:$A$37,$A7,Upgrades!$B$2:$B$37,$B7,Upgrades!$E$2:$E$37,"&lt;="&amp;$D7)</f>
        <v>0</v>
      </c>
      <c r="N7" s="15" t="n">
        <f aca="false">MIN(1,INDEX(Türme!$U$2:$U$7,MATCH($A7,Türme!$A$2:$A$7,0)) + SUMIFS(Upgrades!$AE$2:$AE$37,Upgrades!$A$2:$A$37,$A7,Upgrades!$B$2:$B$37,$B7,Upgrades!$E$2:$E$37,"&lt;="&amp;$D7))</f>
        <v>0</v>
      </c>
      <c r="O7" s="13" t="n">
        <f aca="false">INDEX(Türme!$V$2:$V$7,MATCH($A7,Türme!$A$2:$A$7,0)) + SUMIFS(Upgrades!$AF$2:$AF$37,Upgrades!$A$2:$A$37,$A7,Upgrades!$B$2:$B$37,$B7,Upgrades!$E$2:$E$37,"&lt;="&amp;$D7)</f>
        <v>0</v>
      </c>
      <c r="P7" s="15" t="n">
        <f aca="false">MIN(1,INDEX(Türme!$W$2:$W$7,MATCH($A7,Türme!$A$2:$A$7,0)) + SUMIFS(Upgrades!$AG$2:$AG$37,Upgrades!$A$2:$A$37,$A7,Upgrades!$B$2:$B$37,$B7,Upgrades!$E$2:$E$37,"&lt;="&amp;$D7))</f>
        <v>0</v>
      </c>
      <c r="Q7" s="15" t="n">
        <f aca="false">MIN(1,INDEX(Türme!$X$2:$X$7,MATCH($A7,Türme!$A$2:$A$7,0)) + SUMIFS(Upgrades!$AH$2:$AH$37,Upgrades!$A$2:$A$37,$A7,Upgrades!$B$2:$B$37,$B7,Upgrades!$E$2:$E$37,"&lt;="&amp;$D7))</f>
        <v>0.06</v>
      </c>
    </row>
    <row r="8" customFormat="false" ht="15" hidden="false" customHeight="false" outlineLevel="0" collapsed="false">
      <c r="A8" s="12" t="s">
        <v>66</v>
      </c>
      <c r="B8" s="12" t="n">
        <v>2</v>
      </c>
      <c r="C8" s="12" t="s">
        <v>140</v>
      </c>
      <c r="D8" s="12" t="n">
        <v>3</v>
      </c>
      <c r="E8" s="13" t="n">
        <f aca="false">INDEX(Türme!$N$2:$N$7,MATCH($A8,Türme!$A$2:$A$7,0)) + SUMIFS(Upgrades!$J$2:$J$37,Upgrades!$A$2:$A$37,$A8,Upgrades!$B$2:$B$37,$B8,Upgrades!$E$2:$E$37,"&lt;="&amp;$D8) + SUMIFS(Upgrades!$W$2:$W$37,Upgrades!$A$2:$A$37,$A8,Upgrades!$B$2:$B$37,$B8,Upgrades!$E$2:$E$37,"&lt;="&amp;$D8)</f>
        <v>9</v>
      </c>
      <c r="F8" s="14" t="n">
        <f aca="false">MAX(0.1,INDEX(Türme!$O$2:$O$7,MATCH($A8,Türme!$A$2:$A$7,0)) - SUMIFS(Upgrades!$M$2:$M$37,Upgrades!$A$2:$A$37,$A8,Upgrades!$B$2:$B$37,$B8,Upgrades!$E$2:$E$37,"&lt;="&amp;$D8) - SUMIFS(Upgrades!$Y$2:$Y$37,Upgrades!$A$2:$A$37,$A8,Upgrades!$B$2:$B$37,$B8,Upgrades!$E$2:$E$37,"&lt;="&amp;$D8))</f>
        <v>1.6</v>
      </c>
      <c r="G8" s="13" t="n">
        <f aca="false">E8/F8</f>
        <v>5.625</v>
      </c>
      <c r="H8" s="13" t="n">
        <f aca="false">INDEX(Türme!$L$2:$L$7,MATCH($A8,Türme!$A$2:$A$7,0)) + SUMIFS(Upgrades!$K$2:$K$37,Upgrades!$A$2:$A$37,$A8,Upgrades!$B$2:$B$37,$B8,Upgrades!$E$2:$E$37,"&lt;="&amp;$D8) + SUMIFS(Upgrades!$X$2:$X$37,Upgrades!$A$2:$A$37,$A8,Upgrades!$B$2:$B$37,$B8,Upgrades!$E$2:$E$37,"&lt;="&amp;$D8)</f>
        <v>6</v>
      </c>
      <c r="I8" s="13" t="n">
        <f aca="false">INDEX(Türme!$G$2:$G$7,MATCH($A8,Türme!$A$2:$A$7,0)) + SUMIFS(Upgrades!$O$2:$O$37,Upgrades!$A$2:$A$37,$A8,Upgrades!$B$2:$B$37,$B8,Upgrades!$E$2:$E$37,"&lt;="&amp;$D8) + SUMIFS(Upgrades!$U$2:$U$37,Upgrades!$A$2:$A$37,$A8,Upgrades!$B$2:$B$37,$B8,Upgrades!$E$2:$E$37,"&lt;="&amp;$D8)</f>
        <v>350</v>
      </c>
      <c r="J8" s="13" t="n">
        <f aca="false">INDEX(Türme!$I$2:$I$7,MATCH($A8,Türme!$A$2:$A$7,0)) + SUMIFS(Upgrades!$Z$2:$Z$37,Upgrades!$A$2:$A$37,$A8,Upgrades!$B$2:$B$37,$B8,Upgrades!$E$2:$E$37,"&lt;="&amp;$D8)</f>
        <v>70</v>
      </c>
      <c r="K8" s="13" t="n">
        <f aca="false">INDEX(Türme!$J$2:$J$7,MATCH($A8,Türme!$A$2:$A$7,0)) + SUMIFS(Upgrades!$AA$2:$AA$37,Upgrades!$A$2:$A$37,$A8,Upgrades!$B$2:$B$37,$B8,Upgrades!$E$2:$E$37,"&lt;="&amp;$D8)</f>
        <v>45</v>
      </c>
      <c r="L8" s="15" t="n">
        <f aca="false">MIN(1,INDEX(Türme!$R$2:$R$7,MATCH($A8,Türme!$A$2:$A$7,0)) + SUMIFS(Upgrades!$AB$2:$AB$37,Upgrades!$A$2:$A$37,$A8,Upgrades!$B$2:$B$37,$B8,Upgrades!$E$2:$E$37,"&lt;="&amp;$D8))</f>
        <v>0</v>
      </c>
      <c r="M8" s="13" t="n">
        <f aca="false">INDEX(Türme!$T$2:$T$7,MATCH($A8,Türme!$A$2:$A$7,0)) + SUMIFS(Upgrades!$AD$2:$AD$37,Upgrades!$A$2:$A$37,$A8,Upgrades!$B$2:$B$37,$B8,Upgrades!$E$2:$E$37,"&lt;="&amp;$D8)</f>
        <v>0</v>
      </c>
      <c r="N8" s="15" t="n">
        <f aca="false">MIN(1,INDEX(Türme!$U$2:$U$7,MATCH($A8,Türme!$A$2:$A$7,0)) + SUMIFS(Upgrades!$AE$2:$AE$37,Upgrades!$A$2:$A$37,$A8,Upgrades!$B$2:$B$37,$B8,Upgrades!$E$2:$E$37,"&lt;="&amp;$D8))</f>
        <v>0</v>
      </c>
      <c r="O8" s="13" t="n">
        <f aca="false">INDEX(Türme!$V$2:$V$7,MATCH($A8,Türme!$A$2:$A$7,0)) + SUMIFS(Upgrades!$AF$2:$AF$37,Upgrades!$A$2:$A$37,$A8,Upgrades!$B$2:$B$37,$B8,Upgrades!$E$2:$E$37,"&lt;="&amp;$D8)</f>
        <v>0</v>
      </c>
      <c r="P8" s="15" t="n">
        <f aca="false">MIN(1,INDEX(Türme!$W$2:$W$7,MATCH($A8,Türme!$A$2:$A$7,0)) + SUMIFS(Upgrades!$AG$2:$AG$37,Upgrades!$A$2:$A$37,$A8,Upgrades!$B$2:$B$37,$B8,Upgrades!$E$2:$E$37,"&lt;="&amp;$D8))</f>
        <v>0</v>
      </c>
      <c r="Q8" s="15" t="n">
        <f aca="false">MIN(1,INDEX(Türme!$X$2:$X$7,MATCH($A8,Türme!$A$2:$A$7,0)) + SUMIFS(Upgrades!$AH$2:$AH$37,Upgrades!$A$2:$A$37,$A8,Upgrades!$B$2:$B$37,$B8,Upgrades!$E$2:$E$37,"&lt;="&amp;$D8))</f>
        <v>0.12</v>
      </c>
    </row>
    <row r="9" customFormat="false" ht="15" hidden="false" customHeight="false" outlineLevel="0" collapsed="false">
      <c r="A9" s="8" t="s">
        <v>72</v>
      </c>
      <c r="B9" s="8"/>
      <c r="C9" s="8" t="s">
        <v>328</v>
      </c>
      <c r="D9" s="8" t="n">
        <v>1</v>
      </c>
      <c r="E9" s="9" t="n">
        <f aca="false">INDEX(Türme!$N$2:$N$7,MATCH($A9,Türme!$A$2:$A$7,0))</f>
        <v>5</v>
      </c>
      <c r="F9" s="10" t="n">
        <f aca="false">MAX(0.1,INDEX(Türme!$O$2:$O$7,MATCH($A9,Türme!$A$2:$A$7,0)))</f>
        <v>2.2</v>
      </c>
      <c r="G9" s="9" t="n">
        <f aca="false">E9/F9</f>
        <v>2.27272727272727</v>
      </c>
      <c r="H9" s="9" t="n">
        <f aca="false">INDEX(Türme!$L$2:$L$7,MATCH($A9,Türme!$A$2:$A$7,0))</f>
        <v>5.5</v>
      </c>
      <c r="I9" s="9" t="n">
        <f aca="false">INDEX(Türme!$G$2:$G$7,MATCH($A9,Türme!$A$2:$A$7,0))</f>
        <v>100</v>
      </c>
      <c r="J9" s="9" t="n">
        <f aca="false">INDEX(Türme!$I$2:$I$7,MATCH($A9,Türme!$A$2:$A$7,0))</f>
        <v>0</v>
      </c>
      <c r="K9" s="9" t="n">
        <f aca="false">INDEX(Türme!$J$2:$J$7,MATCH($A9,Türme!$A$2:$A$7,0))</f>
        <v>5</v>
      </c>
      <c r="L9" s="11" t="n">
        <f aca="false">MIN(1,INDEX(Türme!$R$2:$R$7,MATCH($A9,Türme!$A$2:$A$7,0)))</f>
        <v>0</v>
      </c>
      <c r="M9" s="9" t="n">
        <f aca="false">INDEX(Türme!$T$2:$T$7,MATCH($A9,Türme!$A$2:$A$7,0))</f>
        <v>0</v>
      </c>
      <c r="N9" s="11" t="n">
        <f aca="false">MIN(1,INDEX(Türme!$U$2:$U$7,MATCH($A9,Türme!$A$2:$A$7,0)))</f>
        <v>0</v>
      </c>
      <c r="O9" s="9" t="n">
        <f aca="false">INDEX(Türme!$V$2:$V$7,MATCH($A9,Türme!$A$2:$A$7,0))</f>
        <v>0</v>
      </c>
      <c r="P9" s="11" t="n">
        <f aca="false">MIN(1,INDEX(Türme!$W$2:$W$7,MATCH($A9,Türme!$A$2:$A$7,0)))</f>
        <v>0</v>
      </c>
      <c r="Q9" s="11" t="n">
        <f aca="false">MIN(1,INDEX(Türme!$X$2:$X$7,MATCH($A9,Türme!$A$2:$A$7,0)))</f>
        <v>0</v>
      </c>
    </row>
    <row r="10" customFormat="false" ht="15" hidden="false" customHeight="false" outlineLevel="0" collapsed="false">
      <c r="A10" s="12" t="s">
        <v>72</v>
      </c>
      <c r="B10" s="12" t="n">
        <v>0</v>
      </c>
      <c r="C10" s="12" t="s">
        <v>147</v>
      </c>
      <c r="D10" s="12" t="n">
        <v>2</v>
      </c>
      <c r="E10" s="13" t="n">
        <f aca="false">INDEX(Türme!$N$2:$N$7,MATCH($A10,Türme!$A$2:$A$7,0)) + SUMIFS(Upgrades!$J$2:$J$37,Upgrades!$A$2:$A$37,$A10,Upgrades!$B$2:$B$37,$B10,Upgrades!$E$2:$E$37,"&lt;="&amp;$D10) + SUMIFS(Upgrades!$W$2:$W$37,Upgrades!$A$2:$A$37,$A10,Upgrades!$B$2:$B$37,$B10,Upgrades!$E$2:$E$37,"&lt;="&amp;$D10)</f>
        <v>6</v>
      </c>
      <c r="F10" s="14" t="n">
        <f aca="false">MAX(0.1,INDEX(Türme!$O$2:$O$7,MATCH($A10,Türme!$A$2:$A$7,0)) - SUMIFS(Upgrades!$M$2:$M$37,Upgrades!$A$2:$A$37,$A10,Upgrades!$B$2:$B$37,$B10,Upgrades!$E$2:$E$37,"&lt;="&amp;$D10) - SUMIFS(Upgrades!$Y$2:$Y$37,Upgrades!$A$2:$A$37,$A10,Upgrades!$B$2:$B$37,$B10,Upgrades!$E$2:$E$37,"&lt;="&amp;$D10))</f>
        <v>2.2</v>
      </c>
      <c r="G10" s="13" t="n">
        <f aca="false">E10/F10</f>
        <v>2.72727272727273</v>
      </c>
      <c r="H10" s="13" t="n">
        <f aca="false">INDEX(Türme!$L$2:$L$7,MATCH($A10,Türme!$A$2:$A$7,0)) + SUMIFS(Upgrades!$K$2:$K$37,Upgrades!$A$2:$A$37,$A10,Upgrades!$B$2:$B$37,$B10,Upgrades!$E$2:$E$37,"&lt;="&amp;$D10) + SUMIFS(Upgrades!$X$2:$X$37,Upgrades!$A$2:$A$37,$A10,Upgrades!$B$2:$B$37,$B10,Upgrades!$E$2:$E$37,"&lt;="&amp;$D10)</f>
        <v>5.5</v>
      </c>
      <c r="I10" s="13" t="n">
        <f aca="false">INDEX(Türme!$G$2:$G$7,MATCH($A10,Türme!$A$2:$A$7,0)) + SUMIFS(Upgrades!$O$2:$O$37,Upgrades!$A$2:$A$37,$A10,Upgrades!$B$2:$B$37,$B10,Upgrades!$E$2:$E$37,"&lt;="&amp;$D10) + SUMIFS(Upgrades!$U$2:$U$37,Upgrades!$A$2:$A$37,$A10,Upgrades!$B$2:$B$37,$B10,Upgrades!$E$2:$E$37,"&lt;="&amp;$D10)</f>
        <v>100</v>
      </c>
      <c r="J10" s="13" t="n">
        <f aca="false">INDEX(Türme!$I$2:$I$7,MATCH($A10,Türme!$A$2:$A$7,0)) + SUMIFS(Upgrades!$Z$2:$Z$37,Upgrades!$A$2:$A$37,$A10,Upgrades!$B$2:$B$37,$B10,Upgrades!$E$2:$E$37,"&lt;="&amp;$D10)</f>
        <v>0</v>
      </c>
      <c r="K10" s="13" t="n">
        <f aca="false">INDEX(Türme!$J$2:$J$7,MATCH($A10,Türme!$A$2:$A$7,0)) + SUMIFS(Upgrades!$AA$2:$AA$37,Upgrades!$A$2:$A$37,$A10,Upgrades!$B$2:$B$37,$B10,Upgrades!$E$2:$E$37,"&lt;="&amp;$D10)</f>
        <v>5</v>
      </c>
      <c r="L10" s="15" t="n">
        <f aca="false">MIN(1,INDEX(Türme!$R$2:$R$7,MATCH($A10,Türme!$A$2:$A$7,0)) + SUMIFS(Upgrades!$AB$2:$AB$37,Upgrades!$A$2:$A$37,$A10,Upgrades!$B$2:$B$37,$B10,Upgrades!$E$2:$E$37,"&lt;="&amp;$D10))</f>
        <v>0</v>
      </c>
      <c r="M10" s="13" t="n">
        <f aca="false">INDEX(Türme!$T$2:$T$7,MATCH($A10,Türme!$A$2:$A$7,0)) + SUMIFS(Upgrades!$AD$2:$AD$37,Upgrades!$A$2:$A$37,$A10,Upgrades!$B$2:$B$37,$B10,Upgrades!$E$2:$E$37,"&lt;="&amp;$D10)</f>
        <v>0</v>
      </c>
      <c r="N10" s="15" t="n">
        <f aca="false">MIN(1,INDEX(Türme!$U$2:$U$7,MATCH($A10,Türme!$A$2:$A$7,0)) + SUMIFS(Upgrades!$AE$2:$AE$37,Upgrades!$A$2:$A$37,$A10,Upgrades!$B$2:$B$37,$B10,Upgrades!$E$2:$E$37,"&lt;="&amp;$D10))</f>
        <v>0</v>
      </c>
      <c r="O10" s="13" t="n">
        <f aca="false">INDEX(Türme!$V$2:$V$7,MATCH($A10,Türme!$A$2:$A$7,0)) + SUMIFS(Upgrades!$AF$2:$AF$37,Upgrades!$A$2:$A$37,$A10,Upgrades!$B$2:$B$37,$B10,Upgrades!$E$2:$E$37,"&lt;="&amp;$D10)</f>
        <v>5</v>
      </c>
      <c r="P10" s="15" t="n">
        <f aca="false">MIN(1,INDEX(Türme!$W$2:$W$7,MATCH($A10,Türme!$A$2:$A$7,0)) + SUMIFS(Upgrades!$AG$2:$AG$37,Upgrades!$A$2:$A$37,$A10,Upgrades!$B$2:$B$37,$B10,Upgrades!$E$2:$E$37,"&lt;="&amp;$D10))</f>
        <v>0</v>
      </c>
      <c r="Q10" s="15" t="n">
        <f aca="false">MIN(1,INDEX(Türme!$X$2:$X$7,MATCH($A10,Türme!$A$2:$A$7,0)) + SUMIFS(Upgrades!$AH$2:$AH$37,Upgrades!$A$2:$A$37,$A10,Upgrades!$B$2:$B$37,$B10,Upgrades!$E$2:$E$37,"&lt;="&amp;$D10))</f>
        <v>0</v>
      </c>
    </row>
    <row r="11" customFormat="false" ht="15" hidden="false" customHeight="false" outlineLevel="0" collapsed="false">
      <c r="A11" s="12" t="s">
        <v>72</v>
      </c>
      <c r="B11" s="12" t="n">
        <v>0</v>
      </c>
      <c r="C11" s="12" t="s">
        <v>147</v>
      </c>
      <c r="D11" s="12" t="n">
        <v>3</v>
      </c>
      <c r="E11" s="13" t="n">
        <f aca="false">INDEX(Türme!$N$2:$N$7,MATCH($A11,Türme!$A$2:$A$7,0)) + SUMIFS(Upgrades!$J$2:$J$37,Upgrades!$A$2:$A$37,$A11,Upgrades!$B$2:$B$37,$B11,Upgrades!$E$2:$E$37,"&lt;="&amp;$D11) + SUMIFS(Upgrades!$W$2:$W$37,Upgrades!$A$2:$A$37,$A11,Upgrades!$B$2:$B$37,$B11,Upgrades!$E$2:$E$37,"&lt;="&amp;$D11)</f>
        <v>8</v>
      </c>
      <c r="F11" s="14" t="n">
        <f aca="false">MAX(0.1,INDEX(Türme!$O$2:$O$7,MATCH($A11,Türme!$A$2:$A$7,0)) - SUMIFS(Upgrades!$M$2:$M$37,Upgrades!$A$2:$A$37,$A11,Upgrades!$B$2:$B$37,$B11,Upgrades!$E$2:$E$37,"&lt;="&amp;$D11) - SUMIFS(Upgrades!$Y$2:$Y$37,Upgrades!$A$2:$A$37,$A11,Upgrades!$B$2:$B$37,$B11,Upgrades!$E$2:$E$37,"&lt;="&amp;$D11))</f>
        <v>2.2</v>
      </c>
      <c r="G11" s="13" t="n">
        <f aca="false">E11/F11</f>
        <v>3.63636363636364</v>
      </c>
      <c r="H11" s="13" t="n">
        <f aca="false">INDEX(Türme!$L$2:$L$7,MATCH($A11,Türme!$A$2:$A$7,0)) + SUMIFS(Upgrades!$K$2:$K$37,Upgrades!$A$2:$A$37,$A11,Upgrades!$B$2:$B$37,$B11,Upgrades!$E$2:$E$37,"&lt;="&amp;$D11) + SUMIFS(Upgrades!$X$2:$X$37,Upgrades!$A$2:$A$37,$A11,Upgrades!$B$2:$B$37,$B11,Upgrades!$E$2:$E$37,"&lt;="&amp;$D11)</f>
        <v>5.8</v>
      </c>
      <c r="I11" s="13" t="n">
        <f aca="false">INDEX(Türme!$G$2:$G$7,MATCH($A11,Türme!$A$2:$A$7,0)) + SUMIFS(Upgrades!$O$2:$O$37,Upgrades!$A$2:$A$37,$A11,Upgrades!$B$2:$B$37,$B11,Upgrades!$E$2:$E$37,"&lt;="&amp;$D11) + SUMIFS(Upgrades!$U$2:$U$37,Upgrades!$A$2:$A$37,$A11,Upgrades!$B$2:$B$37,$B11,Upgrades!$E$2:$E$37,"&lt;="&amp;$D11)</f>
        <v>100</v>
      </c>
      <c r="J11" s="13" t="n">
        <f aca="false">INDEX(Türme!$I$2:$I$7,MATCH($A11,Türme!$A$2:$A$7,0)) + SUMIFS(Upgrades!$Z$2:$Z$37,Upgrades!$A$2:$A$37,$A11,Upgrades!$B$2:$B$37,$B11,Upgrades!$E$2:$E$37,"&lt;="&amp;$D11)</f>
        <v>0</v>
      </c>
      <c r="K11" s="13" t="n">
        <f aca="false">INDEX(Türme!$J$2:$J$7,MATCH($A11,Türme!$A$2:$A$7,0)) + SUMIFS(Upgrades!$AA$2:$AA$37,Upgrades!$A$2:$A$37,$A11,Upgrades!$B$2:$B$37,$B11,Upgrades!$E$2:$E$37,"&lt;="&amp;$D11)</f>
        <v>5</v>
      </c>
      <c r="L11" s="15" t="n">
        <f aca="false">MIN(1,INDEX(Türme!$R$2:$R$7,MATCH($A11,Türme!$A$2:$A$7,0)) + SUMIFS(Upgrades!$AB$2:$AB$37,Upgrades!$A$2:$A$37,$A11,Upgrades!$B$2:$B$37,$B11,Upgrades!$E$2:$E$37,"&lt;="&amp;$D11))</f>
        <v>0</v>
      </c>
      <c r="M11" s="13" t="n">
        <f aca="false">INDEX(Türme!$T$2:$T$7,MATCH($A11,Türme!$A$2:$A$7,0)) + SUMIFS(Upgrades!$AD$2:$AD$37,Upgrades!$A$2:$A$37,$A11,Upgrades!$B$2:$B$37,$B11,Upgrades!$E$2:$E$37,"&lt;="&amp;$D11)</f>
        <v>0</v>
      </c>
      <c r="N11" s="15" t="n">
        <f aca="false">MIN(1,INDEX(Türme!$U$2:$U$7,MATCH($A11,Türme!$A$2:$A$7,0)) + SUMIFS(Upgrades!$AE$2:$AE$37,Upgrades!$A$2:$A$37,$A11,Upgrades!$B$2:$B$37,$B11,Upgrades!$E$2:$E$37,"&lt;="&amp;$D11))</f>
        <v>0</v>
      </c>
      <c r="O11" s="13" t="n">
        <f aca="false">INDEX(Türme!$V$2:$V$7,MATCH($A11,Türme!$A$2:$A$7,0)) + SUMIFS(Upgrades!$AF$2:$AF$37,Upgrades!$A$2:$A$37,$A11,Upgrades!$B$2:$B$37,$B11,Upgrades!$E$2:$E$37,"&lt;="&amp;$D11)</f>
        <v>10</v>
      </c>
      <c r="P11" s="15" t="n">
        <f aca="false">MIN(1,INDEX(Türme!$W$2:$W$7,MATCH($A11,Türme!$A$2:$A$7,0)) + SUMIFS(Upgrades!$AG$2:$AG$37,Upgrades!$A$2:$A$37,$A11,Upgrades!$B$2:$B$37,$B11,Upgrades!$E$2:$E$37,"&lt;="&amp;$D11))</f>
        <v>0.15</v>
      </c>
      <c r="Q11" s="15" t="n">
        <f aca="false">MIN(1,INDEX(Türme!$X$2:$X$7,MATCH($A11,Türme!$A$2:$A$7,0)) + SUMIFS(Upgrades!$AH$2:$AH$37,Upgrades!$A$2:$A$37,$A11,Upgrades!$B$2:$B$37,$B11,Upgrades!$E$2:$E$37,"&lt;="&amp;$D11))</f>
        <v>0</v>
      </c>
    </row>
    <row r="12" customFormat="false" ht="15" hidden="false" customHeight="false" outlineLevel="0" collapsed="false">
      <c r="A12" s="12" t="s">
        <v>72</v>
      </c>
      <c r="B12" s="12" t="n">
        <v>1</v>
      </c>
      <c r="C12" s="12" t="s">
        <v>154</v>
      </c>
      <c r="D12" s="12" t="n">
        <v>2</v>
      </c>
      <c r="E12" s="13" t="n">
        <f aca="false">INDEX(Türme!$N$2:$N$7,MATCH($A12,Türme!$A$2:$A$7,0)) + SUMIFS(Upgrades!$J$2:$J$37,Upgrades!$A$2:$A$37,$A12,Upgrades!$B$2:$B$37,$B12,Upgrades!$E$2:$E$37,"&lt;="&amp;$D12) + SUMIFS(Upgrades!$W$2:$W$37,Upgrades!$A$2:$A$37,$A12,Upgrades!$B$2:$B$37,$B12,Upgrades!$E$2:$E$37,"&lt;="&amp;$D12)</f>
        <v>5</v>
      </c>
      <c r="F12" s="14" t="n">
        <f aca="false">MAX(0.1,INDEX(Türme!$O$2:$O$7,MATCH($A12,Türme!$A$2:$A$7,0)) - SUMIFS(Upgrades!$M$2:$M$37,Upgrades!$A$2:$A$37,$A12,Upgrades!$B$2:$B$37,$B12,Upgrades!$E$2:$E$37,"&lt;="&amp;$D12) - SUMIFS(Upgrades!$Y$2:$Y$37,Upgrades!$A$2:$A$37,$A12,Upgrades!$B$2:$B$37,$B12,Upgrades!$E$2:$E$37,"&lt;="&amp;$D12))</f>
        <v>2</v>
      </c>
      <c r="G12" s="13" t="n">
        <f aca="false">E12/F12</f>
        <v>2.5</v>
      </c>
      <c r="H12" s="13" t="n">
        <f aca="false">INDEX(Türme!$L$2:$L$7,MATCH($A12,Türme!$A$2:$A$7,0)) + SUMIFS(Upgrades!$K$2:$K$37,Upgrades!$A$2:$A$37,$A12,Upgrades!$B$2:$B$37,$B12,Upgrades!$E$2:$E$37,"&lt;="&amp;$D12) + SUMIFS(Upgrades!$X$2:$X$37,Upgrades!$A$2:$A$37,$A12,Upgrades!$B$2:$B$37,$B12,Upgrades!$E$2:$E$37,"&lt;="&amp;$D12)</f>
        <v>5.5</v>
      </c>
      <c r="I12" s="13" t="n">
        <f aca="false">INDEX(Türme!$G$2:$G$7,MATCH($A12,Türme!$A$2:$A$7,0)) + SUMIFS(Upgrades!$O$2:$O$37,Upgrades!$A$2:$A$37,$A12,Upgrades!$B$2:$B$37,$B12,Upgrades!$E$2:$E$37,"&lt;="&amp;$D12) + SUMIFS(Upgrades!$U$2:$U$37,Upgrades!$A$2:$A$37,$A12,Upgrades!$B$2:$B$37,$B12,Upgrades!$E$2:$E$37,"&lt;="&amp;$D12)</f>
        <v>100</v>
      </c>
      <c r="J12" s="13" t="n">
        <f aca="false">INDEX(Türme!$I$2:$I$7,MATCH($A12,Türme!$A$2:$A$7,0)) + SUMIFS(Upgrades!$Z$2:$Z$37,Upgrades!$A$2:$A$37,$A12,Upgrades!$B$2:$B$37,$B12,Upgrades!$E$2:$E$37,"&lt;="&amp;$D12)</f>
        <v>0</v>
      </c>
      <c r="K12" s="13" t="n">
        <f aca="false">INDEX(Türme!$J$2:$J$7,MATCH($A12,Türme!$A$2:$A$7,0)) + SUMIFS(Upgrades!$AA$2:$AA$37,Upgrades!$A$2:$A$37,$A12,Upgrades!$B$2:$B$37,$B12,Upgrades!$E$2:$E$37,"&lt;="&amp;$D12)</f>
        <v>5</v>
      </c>
      <c r="L12" s="15" t="n">
        <f aca="false">MIN(1,INDEX(Türme!$R$2:$R$7,MATCH($A12,Türme!$A$2:$A$7,0)) + SUMIFS(Upgrades!$AB$2:$AB$37,Upgrades!$A$2:$A$37,$A12,Upgrades!$B$2:$B$37,$B12,Upgrades!$E$2:$E$37,"&lt;="&amp;$D12))</f>
        <v>0</v>
      </c>
      <c r="M12" s="13" t="n">
        <f aca="false">INDEX(Türme!$T$2:$T$7,MATCH($A12,Türme!$A$2:$A$7,0)) + SUMIFS(Upgrades!$AD$2:$AD$37,Upgrades!$A$2:$A$37,$A12,Upgrades!$B$2:$B$37,$B12,Upgrades!$E$2:$E$37,"&lt;="&amp;$D12)</f>
        <v>0</v>
      </c>
      <c r="N12" s="15" t="n">
        <f aca="false">MIN(1,INDEX(Türme!$U$2:$U$7,MATCH($A12,Türme!$A$2:$A$7,0)) + SUMIFS(Upgrades!$AE$2:$AE$37,Upgrades!$A$2:$A$37,$A12,Upgrades!$B$2:$B$37,$B12,Upgrades!$E$2:$E$37,"&lt;="&amp;$D12))</f>
        <v>0</v>
      </c>
      <c r="O12" s="13" t="n">
        <f aca="false">INDEX(Türme!$V$2:$V$7,MATCH($A12,Türme!$A$2:$A$7,0)) + SUMIFS(Upgrades!$AF$2:$AF$37,Upgrades!$A$2:$A$37,$A12,Upgrades!$B$2:$B$37,$B12,Upgrades!$E$2:$E$37,"&lt;="&amp;$D12)</f>
        <v>0</v>
      </c>
      <c r="P12" s="15" t="n">
        <f aca="false">MIN(1,INDEX(Türme!$W$2:$W$7,MATCH($A12,Türme!$A$2:$A$7,0)) + SUMIFS(Upgrades!$AG$2:$AG$37,Upgrades!$A$2:$A$37,$A12,Upgrades!$B$2:$B$37,$B12,Upgrades!$E$2:$E$37,"&lt;="&amp;$D12))</f>
        <v>0</v>
      </c>
      <c r="Q12" s="15" t="n">
        <f aca="false">MIN(1,INDEX(Türme!$X$2:$X$7,MATCH($A12,Türme!$A$2:$A$7,0)) + SUMIFS(Upgrades!$AH$2:$AH$37,Upgrades!$A$2:$A$37,$A12,Upgrades!$B$2:$B$37,$B12,Upgrades!$E$2:$E$37,"&lt;="&amp;$D12))</f>
        <v>0</v>
      </c>
    </row>
    <row r="13" customFormat="false" ht="15" hidden="false" customHeight="false" outlineLevel="0" collapsed="false">
      <c r="A13" s="12" t="s">
        <v>72</v>
      </c>
      <c r="B13" s="12" t="n">
        <v>1</v>
      </c>
      <c r="C13" s="12" t="s">
        <v>154</v>
      </c>
      <c r="D13" s="12" t="n">
        <v>3</v>
      </c>
      <c r="E13" s="13" t="n">
        <f aca="false">INDEX(Türme!$N$2:$N$7,MATCH($A13,Türme!$A$2:$A$7,0)) + SUMIFS(Upgrades!$J$2:$J$37,Upgrades!$A$2:$A$37,$A13,Upgrades!$B$2:$B$37,$B13,Upgrades!$E$2:$E$37,"&lt;="&amp;$D13) + SUMIFS(Upgrades!$W$2:$W$37,Upgrades!$A$2:$A$37,$A13,Upgrades!$B$2:$B$37,$B13,Upgrades!$E$2:$E$37,"&lt;="&amp;$D13)</f>
        <v>6</v>
      </c>
      <c r="F13" s="14" t="n">
        <f aca="false">MAX(0.1,INDEX(Türme!$O$2:$O$7,MATCH($A13,Türme!$A$2:$A$7,0)) - SUMIFS(Upgrades!$M$2:$M$37,Upgrades!$A$2:$A$37,$A13,Upgrades!$B$2:$B$37,$B13,Upgrades!$E$2:$E$37,"&lt;="&amp;$D13) - SUMIFS(Upgrades!$Y$2:$Y$37,Upgrades!$A$2:$A$37,$A13,Upgrades!$B$2:$B$37,$B13,Upgrades!$E$2:$E$37,"&lt;="&amp;$D13))</f>
        <v>1.8</v>
      </c>
      <c r="G13" s="13" t="n">
        <f aca="false">E13/F13</f>
        <v>3.33333333333333</v>
      </c>
      <c r="H13" s="13" t="n">
        <f aca="false">INDEX(Türme!$L$2:$L$7,MATCH($A13,Türme!$A$2:$A$7,0)) + SUMIFS(Upgrades!$K$2:$K$37,Upgrades!$A$2:$A$37,$A13,Upgrades!$B$2:$B$37,$B13,Upgrades!$E$2:$E$37,"&lt;="&amp;$D13) + SUMIFS(Upgrades!$X$2:$X$37,Upgrades!$A$2:$A$37,$A13,Upgrades!$B$2:$B$37,$B13,Upgrades!$E$2:$E$37,"&lt;="&amp;$D13)</f>
        <v>5.5</v>
      </c>
      <c r="I13" s="13" t="n">
        <f aca="false">INDEX(Türme!$G$2:$G$7,MATCH($A13,Türme!$A$2:$A$7,0)) + SUMIFS(Upgrades!$O$2:$O$37,Upgrades!$A$2:$A$37,$A13,Upgrades!$B$2:$B$37,$B13,Upgrades!$E$2:$E$37,"&lt;="&amp;$D13) + SUMIFS(Upgrades!$U$2:$U$37,Upgrades!$A$2:$A$37,$A13,Upgrades!$B$2:$B$37,$B13,Upgrades!$E$2:$E$37,"&lt;="&amp;$D13)</f>
        <v>100</v>
      </c>
      <c r="J13" s="13" t="n">
        <f aca="false">INDEX(Türme!$I$2:$I$7,MATCH($A13,Türme!$A$2:$A$7,0)) + SUMIFS(Upgrades!$Z$2:$Z$37,Upgrades!$A$2:$A$37,$A13,Upgrades!$B$2:$B$37,$B13,Upgrades!$E$2:$E$37,"&lt;="&amp;$D13)</f>
        <v>0</v>
      </c>
      <c r="K13" s="13" t="n">
        <f aca="false">INDEX(Türme!$J$2:$J$7,MATCH($A13,Türme!$A$2:$A$7,0)) + SUMIFS(Upgrades!$AA$2:$AA$37,Upgrades!$A$2:$A$37,$A13,Upgrades!$B$2:$B$37,$B13,Upgrades!$E$2:$E$37,"&lt;="&amp;$D13)</f>
        <v>5</v>
      </c>
      <c r="L13" s="15" t="n">
        <f aca="false">MIN(1,INDEX(Türme!$R$2:$R$7,MATCH($A13,Türme!$A$2:$A$7,0)) + SUMIFS(Upgrades!$AB$2:$AB$37,Upgrades!$A$2:$A$37,$A13,Upgrades!$B$2:$B$37,$B13,Upgrades!$E$2:$E$37,"&lt;="&amp;$D13))</f>
        <v>0</v>
      </c>
      <c r="M13" s="13" t="n">
        <f aca="false">INDEX(Türme!$T$2:$T$7,MATCH($A13,Türme!$A$2:$A$7,0)) + SUMIFS(Upgrades!$AD$2:$AD$37,Upgrades!$A$2:$A$37,$A13,Upgrades!$B$2:$B$37,$B13,Upgrades!$E$2:$E$37,"&lt;="&amp;$D13)</f>
        <v>0</v>
      </c>
      <c r="N13" s="15" t="n">
        <f aca="false">MIN(1,INDEX(Türme!$U$2:$U$7,MATCH($A13,Türme!$A$2:$A$7,0)) + SUMIFS(Upgrades!$AE$2:$AE$37,Upgrades!$A$2:$A$37,$A13,Upgrades!$B$2:$B$37,$B13,Upgrades!$E$2:$E$37,"&lt;="&amp;$D13))</f>
        <v>0</v>
      </c>
      <c r="O13" s="13" t="n">
        <f aca="false">INDEX(Türme!$V$2:$V$7,MATCH($A13,Türme!$A$2:$A$7,0)) + SUMIFS(Upgrades!$AF$2:$AF$37,Upgrades!$A$2:$A$37,$A13,Upgrades!$B$2:$B$37,$B13,Upgrades!$E$2:$E$37,"&lt;="&amp;$D13)</f>
        <v>0</v>
      </c>
      <c r="P13" s="15" t="n">
        <f aca="false">MIN(1,INDEX(Türme!$W$2:$W$7,MATCH($A13,Türme!$A$2:$A$7,0)) + SUMIFS(Upgrades!$AG$2:$AG$37,Upgrades!$A$2:$A$37,$A13,Upgrades!$B$2:$B$37,$B13,Upgrades!$E$2:$E$37,"&lt;="&amp;$D13))</f>
        <v>0.15</v>
      </c>
      <c r="Q13" s="15" t="n">
        <f aca="false">MIN(1,INDEX(Türme!$X$2:$X$7,MATCH($A13,Türme!$A$2:$A$7,0)) + SUMIFS(Upgrades!$AH$2:$AH$37,Upgrades!$A$2:$A$37,$A13,Upgrades!$B$2:$B$37,$B13,Upgrades!$E$2:$E$37,"&lt;="&amp;$D13))</f>
        <v>0</v>
      </c>
    </row>
    <row r="14" customFormat="false" ht="15" hidden="false" customHeight="false" outlineLevel="0" collapsed="false">
      <c r="A14" s="12" t="s">
        <v>72</v>
      </c>
      <c r="B14" s="12" t="n">
        <v>2</v>
      </c>
      <c r="C14" s="12" t="s">
        <v>161</v>
      </c>
      <c r="D14" s="12" t="n">
        <v>2</v>
      </c>
      <c r="E14" s="13" t="n">
        <f aca="false">INDEX(Türme!$N$2:$N$7,MATCH($A14,Türme!$A$2:$A$7,0)) + SUMIFS(Upgrades!$J$2:$J$37,Upgrades!$A$2:$A$37,$A14,Upgrades!$B$2:$B$37,$B14,Upgrades!$E$2:$E$37,"&lt;="&amp;$D14) + SUMIFS(Upgrades!$W$2:$W$37,Upgrades!$A$2:$A$37,$A14,Upgrades!$B$2:$B$37,$B14,Upgrades!$E$2:$E$37,"&lt;="&amp;$D14)</f>
        <v>5</v>
      </c>
      <c r="F14" s="14" t="n">
        <f aca="false">MAX(0.1,INDEX(Türme!$O$2:$O$7,MATCH($A14,Türme!$A$2:$A$7,0)) - SUMIFS(Upgrades!$M$2:$M$37,Upgrades!$A$2:$A$37,$A14,Upgrades!$B$2:$B$37,$B14,Upgrades!$E$2:$E$37,"&lt;="&amp;$D14) - SUMIFS(Upgrades!$Y$2:$Y$37,Upgrades!$A$2:$A$37,$A14,Upgrades!$B$2:$B$37,$B14,Upgrades!$E$2:$E$37,"&lt;="&amp;$D14))</f>
        <v>2.2</v>
      </c>
      <c r="G14" s="13" t="n">
        <f aca="false">E14/F14</f>
        <v>2.27272727272727</v>
      </c>
      <c r="H14" s="13" t="n">
        <f aca="false">INDEX(Türme!$L$2:$L$7,MATCH($A14,Türme!$A$2:$A$7,0)) + SUMIFS(Upgrades!$K$2:$K$37,Upgrades!$A$2:$A$37,$A14,Upgrades!$B$2:$B$37,$B14,Upgrades!$E$2:$E$37,"&lt;="&amp;$D14) + SUMIFS(Upgrades!$X$2:$X$37,Upgrades!$A$2:$A$37,$A14,Upgrades!$B$2:$B$37,$B14,Upgrades!$E$2:$E$37,"&lt;="&amp;$D14)</f>
        <v>5.5</v>
      </c>
      <c r="I14" s="13" t="n">
        <f aca="false">INDEX(Türme!$G$2:$G$7,MATCH($A14,Türme!$A$2:$A$7,0)) + SUMIFS(Upgrades!$O$2:$O$37,Upgrades!$A$2:$A$37,$A14,Upgrades!$B$2:$B$37,$B14,Upgrades!$E$2:$E$37,"&lt;="&amp;$D14) + SUMIFS(Upgrades!$U$2:$U$37,Upgrades!$A$2:$A$37,$A14,Upgrades!$B$2:$B$37,$B14,Upgrades!$E$2:$E$37,"&lt;="&amp;$D14)</f>
        <v>130</v>
      </c>
      <c r="J14" s="13" t="n">
        <f aca="false">INDEX(Türme!$I$2:$I$7,MATCH($A14,Türme!$A$2:$A$7,0)) + SUMIFS(Upgrades!$Z$2:$Z$37,Upgrades!$A$2:$A$37,$A14,Upgrades!$B$2:$B$37,$B14,Upgrades!$E$2:$E$37,"&lt;="&amp;$D14)</f>
        <v>0</v>
      </c>
      <c r="K14" s="13" t="n">
        <f aca="false">INDEX(Türme!$J$2:$J$7,MATCH($A14,Türme!$A$2:$A$7,0)) + SUMIFS(Upgrades!$AA$2:$AA$37,Upgrades!$A$2:$A$37,$A14,Upgrades!$B$2:$B$37,$B14,Upgrades!$E$2:$E$37,"&lt;="&amp;$D14)</f>
        <v>5</v>
      </c>
      <c r="L14" s="15" t="n">
        <f aca="false">MIN(1,INDEX(Türme!$R$2:$R$7,MATCH($A14,Türme!$A$2:$A$7,0)) + SUMIFS(Upgrades!$AB$2:$AB$37,Upgrades!$A$2:$A$37,$A14,Upgrades!$B$2:$B$37,$B14,Upgrades!$E$2:$E$37,"&lt;="&amp;$D14))</f>
        <v>0</v>
      </c>
      <c r="M14" s="13" t="n">
        <f aca="false">INDEX(Türme!$T$2:$T$7,MATCH($A14,Türme!$A$2:$A$7,0)) + SUMIFS(Upgrades!$AD$2:$AD$37,Upgrades!$A$2:$A$37,$A14,Upgrades!$B$2:$B$37,$B14,Upgrades!$E$2:$E$37,"&lt;="&amp;$D14)</f>
        <v>0</v>
      </c>
      <c r="N14" s="15" t="n">
        <f aca="false">MIN(1,INDEX(Türme!$U$2:$U$7,MATCH($A14,Türme!$A$2:$A$7,0)) + SUMIFS(Upgrades!$AE$2:$AE$37,Upgrades!$A$2:$A$37,$A14,Upgrades!$B$2:$B$37,$B14,Upgrades!$E$2:$E$37,"&lt;="&amp;$D14))</f>
        <v>0</v>
      </c>
      <c r="O14" s="13" t="n">
        <f aca="false">INDEX(Türme!$V$2:$V$7,MATCH($A14,Türme!$A$2:$A$7,0)) + SUMIFS(Upgrades!$AF$2:$AF$37,Upgrades!$A$2:$A$37,$A14,Upgrades!$B$2:$B$37,$B14,Upgrades!$E$2:$E$37,"&lt;="&amp;$D14)</f>
        <v>0</v>
      </c>
      <c r="P14" s="15" t="n">
        <f aca="false">MIN(1,INDEX(Türme!$W$2:$W$7,MATCH($A14,Türme!$A$2:$A$7,0)) + SUMIFS(Upgrades!$AG$2:$AG$37,Upgrades!$A$2:$A$37,$A14,Upgrades!$B$2:$B$37,$B14,Upgrades!$E$2:$E$37,"&lt;="&amp;$D14))</f>
        <v>0</v>
      </c>
      <c r="Q14" s="15" t="n">
        <f aca="false">MIN(1,INDEX(Türme!$X$2:$X$7,MATCH($A14,Türme!$A$2:$A$7,0)) + SUMIFS(Upgrades!$AH$2:$AH$37,Upgrades!$A$2:$A$37,$A14,Upgrades!$B$2:$B$37,$B14,Upgrades!$E$2:$E$37,"&lt;="&amp;$D14))</f>
        <v>0</v>
      </c>
    </row>
    <row r="15" customFormat="false" ht="15" hidden="false" customHeight="false" outlineLevel="0" collapsed="false">
      <c r="A15" s="12" t="s">
        <v>72</v>
      </c>
      <c r="B15" s="12" t="n">
        <v>2</v>
      </c>
      <c r="C15" s="12" t="s">
        <v>161</v>
      </c>
      <c r="D15" s="12" t="n">
        <v>3</v>
      </c>
      <c r="E15" s="13" t="n">
        <f aca="false">INDEX(Türme!$N$2:$N$7,MATCH($A15,Türme!$A$2:$A$7,0)) + SUMIFS(Upgrades!$J$2:$J$37,Upgrades!$A$2:$A$37,$A15,Upgrades!$B$2:$B$37,$B15,Upgrades!$E$2:$E$37,"&lt;="&amp;$D15) + SUMIFS(Upgrades!$W$2:$W$37,Upgrades!$A$2:$A$37,$A15,Upgrades!$B$2:$B$37,$B15,Upgrades!$E$2:$E$37,"&lt;="&amp;$D15)</f>
        <v>7</v>
      </c>
      <c r="F15" s="14" t="n">
        <f aca="false">MAX(0.1,INDEX(Türme!$O$2:$O$7,MATCH($A15,Türme!$A$2:$A$7,0)) - SUMIFS(Upgrades!$M$2:$M$37,Upgrades!$A$2:$A$37,$A15,Upgrades!$B$2:$B$37,$B15,Upgrades!$E$2:$E$37,"&lt;="&amp;$D15) - SUMIFS(Upgrades!$Y$2:$Y$37,Upgrades!$A$2:$A$37,$A15,Upgrades!$B$2:$B$37,$B15,Upgrades!$E$2:$E$37,"&lt;="&amp;$D15))</f>
        <v>2.2</v>
      </c>
      <c r="G15" s="13" t="n">
        <f aca="false">E15/F15</f>
        <v>3.18181818181818</v>
      </c>
      <c r="H15" s="13" t="n">
        <f aca="false">INDEX(Türme!$L$2:$L$7,MATCH($A15,Türme!$A$2:$A$7,0)) + SUMIFS(Upgrades!$K$2:$K$37,Upgrades!$A$2:$A$37,$A15,Upgrades!$B$2:$B$37,$B15,Upgrades!$E$2:$E$37,"&lt;="&amp;$D15) + SUMIFS(Upgrades!$X$2:$X$37,Upgrades!$A$2:$A$37,$A15,Upgrades!$B$2:$B$37,$B15,Upgrades!$E$2:$E$37,"&lt;="&amp;$D15)</f>
        <v>5.5</v>
      </c>
      <c r="I15" s="13" t="n">
        <f aca="false">INDEX(Türme!$G$2:$G$7,MATCH($A15,Türme!$A$2:$A$7,0)) + SUMIFS(Upgrades!$O$2:$O$37,Upgrades!$A$2:$A$37,$A15,Upgrades!$B$2:$B$37,$B15,Upgrades!$E$2:$E$37,"&lt;="&amp;$D15) + SUMIFS(Upgrades!$U$2:$U$37,Upgrades!$A$2:$A$37,$A15,Upgrades!$B$2:$B$37,$B15,Upgrades!$E$2:$E$37,"&lt;="&amp;$D15)</f>
        <v>130</v>
      </c>
      <c r="J15" s="13" t="n">
        <f aca="false">INDEX(Türme!$I$2:$I$7,MATCH($A15,Türme!$A$2:$A$7,0)) + SUMIFS(Upgrades!$Z$2:$Z$37,Upgrades!$A$2:$A$37,$A15,Upgrades!$B$2:$B$37,$B15,Upgrades!$E$2:$E$37,"&lt;="&amp;$D15)</f>
        <v>0</v>
      </c>
      <c r="K15" s="13" t="n">
        <f aca="false">INDEX(Türme!$J$2:$J$7,MATCH($A15,Türme!$A$2:$A$7,0)) + SUMIFS(Upgrades!$AA$2:$AA$37,Upgrades!$A$2:$A$37,$A15,Upgrades!$B$2:$B$37,$B15,Upgrades!$E$2:$E$37,"&lt;="&amp;$D15)</f>
        <v>5</v>
      </c>
      <c r="L15" s="15" t="n">
        <f aca="false">MIN(1,INDEX(Türme!$R$2:$R$7,MATCH($A15,Türme!$A$2:$A$7,0)) + SUMIFS(Upgrades!$AB$2:$AB$37,Upgrades!$A$2:$A$37,$A15,Upgrades!$B$2:$B$37,$B15,Upgrades!$E$2:$E$37,"&lt;="&amp;$D15))</f>
        <v>0</v>
      </c>
      <c r="M15" s="13" t="n">
        <f aca="false">INDEX(Türme!$T$2:$T$7,MATCH($A15,Türme!$A$2:$A$7,0)) + SUMIFS(Upgrades!$AD$2:$AD$37,Upgrades!$A$2:$A$37,$A15,Upgrades!$B$2:$B$37,$B15,Upgrades!$E$2:$E$37,"&lt;="&amp;$D15)</f>
        <v>0</v>
      </c>
      <c r="N15" s="15" t="n">
        <f aca="false">MIN(1,INDEX(Türme!$U$2:$U$7,MATCH($A15,Türme!$A$2:$A$7,0)) + SUMIFS(Upgrades!$AE$2:$AE$37,Upgrades!$A$2:$A$37,$A15,Upgrades!$B$2:$B$37,$B15,Upgrades!$E$2:$E$37,"&lt;="&amp;$D15))</f>
        <v>0</v>
      </c>
      <c r="O15" s="13" t="n">
        <f aca="false">INDEX(Türme!$V$2:$V$7,MATCH($A15,Türme!$A$2:$A$7,0)) + SUMIFS(Upgrades!$AF$2:$AF$37,Upgrades!$A$2:$A$37,$A15,Upgrades!$B$2:$B$37,$B15,Upgrades!$E$2:$E$37,"&lt;="&amp;$D15)</f>
        <v>0</v>
      </c>
      <c r="P15" s="15" t="n">
        <f aca="false">MIN(1,INDEX(Türme!$W$2:$W$7,MATCH($A15,Türme!$A$2:$A$7,0)) + SUMIFS(Upgrades!$AG$2:$AG$37,Upgrades!$A$2:$A$37,$A15,Upgrades!$B$2:$B$37,$B15,Upgrades!$E$2:$E$37,"&lt;="&amp;$D15))</f>
        <v>0.2</v>
      </c>
      <c r="Q15" s="15" t="n">
        <f aca="false">MIN(1,INDEX(Türme!$X$2:$X$7,MATCH($A15,Türme!$A$2:$A$7,0)) + SUMIFS(Upgrades!$AH$2:$AH$37,Upgrades!$A$2:$A$37,$A15,Upgrades!$B$2:$B$37,$B15,Upgrades!$E$2:$E$37,"&lt;="&amp;$D15))</f>
        <v>0</v>
      </c>
    </row>
    <row r="16" customFormat="false" ht="15" hidden="false" customHeight="false" outlineLevel="0" collapsed="false">
      <c r="A16" s="8" t="s">
        <v>77</v>
      </c>
      <c r="B16" s="8"/>
      <c r="C16" s="8" t="s">
        <v>328</v>
      </c>
      <c r="D16" s="8" t="n">
        <v>1</v>
      </c>
      <c r="E16" s="9" t="n">
        <f aca="false">INDEX(Türme!$N$2:$N$7,MATCH($A16,Türme!$A$2:$A$7,0))</f>
        <v>8</v>
      </c>
      <c r="F16" s="10" t="n">
        <f aca="false">MAX(0.1,INDEX(Türme!$O$2:$O$7,MATCH($A16,Türme!$A$2:$A$7,0)))</f>
        <v>2</v>
      </c>
      <c r="G16" s="9" t="n">
        <f aca="false">E16/F16</f>
        <v>4</v>
      </c>
      <c r="H16" s="9" t="n">
        <f aca="false">INDEX(Türme!$L$2:$L$7,MATCH($A16,Türme!$A$2:$A$7,0))</f>
        <v>5.5</v>
      </c>
      <c r="I16" s="9" t="n">
        <f aca="false">INDEX(Türme!$G$2:$G$7,MATCH($A16,Türme!$A$2:$A$7,0))</f>
        <v>110</v>
      </c>
      <c r="J16" s="9" t="n">
        <f aca="false">INDEX(Türme!$I$2:$I$7,MATCH($A16,Türme!$A$2:$A$7,0))</f>
        <v>3</v>
      </c>
      <c r="K16" s="9" t="n">
        <f aca="false">INDEX(Türme!$J$2:$J$7,MATCH($A16,Türme!$A$2:$A$7,0))</f>
        <v>3</v>
      </c>
      <c r="L16" s="11" t="n">
        <f aca="false">MIN(1,INDEX(Türme!$R$2:$R$7,MATCH($A16,Türme!$A$2:$A$7,0)))</f>
        <v>0</v>
      </c>
      <c r="M16" s="9" t="n">
        <f aca="false">INDEX(Türme!$T$2:$T$7,MATCH($A16,Türme!$A$2:$A$7,0))</f>
        <v>0</v>
      </c>
      <c r="N16" s="11" t="n">
        <f aca="false">MIN(1,INDEX(Türme!$U$2:$U$7,MATCH($A16,Türme!$A$2:$A$7,0)))</f>
        <v>0</v>
      </c>
      <c r="O16" s="9" t="n">
        <f aca="false">INDEX(Türme!$V$2:$V$7,MATCH($A16,Türme!$A$2:$A$7,0))</f>
        <v>0</v>
      </c>
      <c r="P16" s="11" t="n">
        <f aca="false">MIN(1,INDEX(Türme!$W$2:$W$7,MATCH($A16,Türme!$A$2:$A$7,0)))</f>
        <v>0</v>
      </c>
      <c r="Q16" s="11" t="n">
        <f aca="false">MIN(1,INDEX(Türme!$X$2:$X$7,MATCH($A16,Türme!$A$2:$A$7,0)))</f>
        <v>0</v>
      </c>
    </row>
    <row r="17" customFormat="false" ht="15" hidden="false" customHeight="false" outlineLevel="0" collapsed="false">
      <c r="A17" s="12" t="s">
        <v>77</v>
      </c>
      <c r="B17" s="12" t="n">
        <v>0</v>
      </c>
      <c r="C17" s="12" t="s">
        <v>168</v>
      </c>
      <c r="D17" s="12" t="n">
        <v>2</v>
      </c>
      <c r="E17" s="13" t="n">
        <f aca="false">INDEX(Türme!$N$2:$N$7,MATCH($A17,Türme!$A$2:$A$7,0)) + SUMIFS(Upgrades!$J$2:$J$37,Upgrades!$A$2:$A$37,$A17,Upgrades!$B$2:$B$37,$B17,Upgrades!$E$2:$E$37,"&lt;="&amp;$D17) + SUMIFS(Upgrades!$W$2:$W$37,Upgrades!$A$2:$A$37,$A17,Upgrades!$B$2:$B$37,$B17,Upgrades!$E$2:$E$37,"&lt;="&amp;$D17)</f>
        <v>8</v>
      </c>
      <c r="F17" s="14" t="n">
        <f aca="false">MAX(0.1,INDEX(Türme!$O$2:$O$7,MATCH($A17,Türme!$A$2:$A$7,0)) - SUMIFS(Upgrades!$M$2:$M$37,Upgrades!$A$2:$A$37,$A17,Upgrades!$B$2:$B$37,$B17,Upgrades!$E$2:$E$37,"&lt;="&amp;$D17) - SUMIFS(Upgrades!$Y$2:$Y$37,Upgrades!$A$2:$A$37,$A17,Upgrades!$B$2:$B$37,$B17,Upgrades!$E$2:$E$37,"&lt;="&amp;$D17))</f>
        <v>2</v>
      </c>
      <c r="G17" s="13" t="n">
        <f aca="false">E17/F17</f>
        <v>4</v>
      </c>
      <c r="H17" s="13" t="n">
        <f aca="false">INDEX(Türme!$L$2:$L$7,MATCH($A17,Türme!$A$2:$A$7,0)) + SUMIFS(Upgrades!$K$2:$K$37,Upgrades!$A$2:$A$37,$A17,Upgrades!$B$2:$B$37,$B17,Upgrades!$E$2:$E$37,"&lt;="&amp;$D17) + SUMIFS(Upgrades!$X$2:$X$37,Upgrades!$A$2:$A$37,$A17,Upgrades!$B$2:$B$37,$B17,Upgrades!$E$2:$E$37,"&lt;="&amp;$D17)</f>
        <v>5.5</v>
      </c>
      <c r="I17" s="13" t="n">
        <f aca="false">INDEX(Türme!$G$2:$G$7,MATCH($A17,Türme!$A$2:$A$7,0)) + SUMIFS(Upgrades!$O$2:$O$37,Upgrades!$A$2:$A$37,$A17,Upgrades!$B$2:$B$37,$B17,Upgrades!$E$2:$E$37,"&lt;="&amp;$D17) + SUMIFS(Upgrades!$U$2:$U$37,Upgrades!$A$2:$A$37,$A17,Upgrades!$B$2:$B$37,$B17,Upgrades!$E$2:$E$37,"&lt;="&amp;$D17)</f>
        <v>110</v>
      </c>
      <c r="J17" s="13" t="n">
        <f aca="false">INDEX(Türme!$I$2:$I$7,MATCH($A17,Türme!$A$2:$A$7,0)) + SUMIFS(Upgrades!$Z$2:$Z$37,Upgrades!$A$2:$A$37,$A17,Upgrades!$B$2:$B$37,$B17,Upgrades!$E$2:$E$37,"&lt;="&amp;$D17)</f>
        <v>3</v>
      </c>
      <c r="K17" s="13" t="n">
        <f aca="false">INDEX(Türme!$J$2:$J$7,MATCH($A17,Türme!$A$2:$A$7,0)) + SUMIFS(Upgrades!$AA$2:$AA$37,Upgrades!$A$2:$A$37,$A17,Upgrades!$B$2:$B$37,$B17,Upgrades!$E$2:$E$37,"&lt;="&amp;$D17)</f>
        <v>3</v>
      </c>
      <c r="L17" s="15" t="n">
        <f aca="false">MIN(1,INDEX(Türme!$R$2:$R$7,MATCH($A17,Türme!$A$2:$A$7,0)) + SUMIFS(Upgrades!$AB$2:$AB$37,Upgrades!$A$2:$A$37,$A17,Upgrades!$B$2:$B$37,$B17,Upgrades!$E$2:$E$37,"&lt;="&amp;$D17))</f>
        <v>0</v>
      </c>
      <c r="M17" s="13" t="n">
        <f aca="false">INDEX(Türme!$T$2:$T$7,MATCH($A17,Türme!$A$2:$A$7,0)) + SUMIFS(Upgrades!$AD$2:$AD$37,Upgrades!$A$2:$A$37,$A17,Upgrades!$B$2:$B$37,$B17,Upgrades!$E$2:$E$37,"&lt;="&amp;$D17)</f>
        <v>8</v>
      </c>
      <c r="N17" s="15" t="n">
        <f aca="false">MIN(1,INDEX(Türme!$U$2:$U$7,MATCH($A17,Türme!$A$2:$A$7,0)) + SUMIFS(Upgrades!$AE$2:$AE$37,Upgrades!$A$2:$A$37,$A17,Upgrades!$B$2:$B$37,$B17,Upgrades!$E$2:$E$37,"&lt;="&amp;$D17))</f>
        <v>0</v>
      </c>
      <c r="O17" s="13" t="n">
        <f aca="false">INDEX(Türme!$V$2:$V$7,MATCH($A17,Türme!$A$2:$A$7,0)) + SUMIFS(Upgrades!$AF$2:$AF$37,Upgrades!$A$2:$A$37,$A17,Upgrades!$B$2:$B$37,$B17,Upgrades!$E$2:$E$37,"&lt;="&amp;$D17)</f>
        <v>0</v>
      </c>
      <c r="P17" s="15" t="n">
        <f aca="false">MIN(1,INDEX(Türme!$W$2:$W$7,MATCH($A17,Türme!$A$2:$A$7,0)) + SUMIFS(Upgrades!$AG$2:$AG$37,Upgrades!$A$2:$A$37,$A17,Upgrades!$B$2:$B$37,$B17,Upgrades!$E$2:$E$37,"&lt;="&amp;$D17))</f>
        <v>0</v>
      </c>
      <c r="Q17" s="15" t="n">
        <f aca="false">MIN(1,INDEX(Türme!$X$2:$X$7,MATCH($A17,Türme!$A$2:$A$7,0)) + SUMIFS(Upgrades!$AH$2:$AH$37,Upgrades!$A$2:$A$37,$A17,Upgrades!$B$2:$B$37,$B17,Upgrades!$E$2:$E$37,"&lt;="&amp;$D17))</f>
        <v>0</v>
      </c>
    </row>
    <row r="18" customFormat="false" ht="15" hidden="false" customHeight="false" outlineLevel="0" collapsed="false">
      <c r="A18" s="12" t="s">
        <v>77</v>
      </c>
      <c r="B18" s="12" t="n">
        <v>0</v>
      </c>
      <c r="C18" s="12" t="s">
        <v>168</v>
      </c>
      <c r="D18" s="12" t="n">
        <v>3</v>
      </c>
      <c r="E18" s="13" t="n">
        <f aca="false">INDEX(Türme!$N$2:$N$7,MATCH($A18,Türme!$A$2:$A$7,0)) + SUMIFS(Upgrades!$J$2:$J$37,Upgrades!$A$2:$A$37,$A18,Upgrades!$B$2:$B$37,$B18,Upgrades!$E$2:$E$37,"&lt;="&amp;$D18) + SUMIFS(Upgrades!$W$2:$W$37,Upgrades!$A$2:$A$37,$A18,Upgrades!$B$2:$B$37,$B18,Upgrades!$E$2:$E$37,"&lt;="&amp;$D18)</f>
        <v>9</v>
      </c>
      <c r="F18" s="14" t="n">
        <f aca="false">MAX(0.1,INDEX(Türme!$O$2:$O$7,MATCH($A18,Türme!$A$2:$A$7,0)) - SUMIFS(Upgrades!$M$2:$M$37,Upgrades!$A$2:$A$37,$A18,Upgrades!$B$2:$B$37,$B18,Upgrades!$E$2:$E$37,"&lt;="&amp;$D18) - SUMIFS(Upgrades!$Y$2:$Y$37,Upgrades!$A$2:$A$37,$A18,Upgrades!$B$2:$B$37,$B18,Upgrades!$E$2:$E$37,"&lt;="&amp;$D18))</f>
        <v>2</v>
      </c>
      <c r="G18" s="13" t="n">
        <f aca="false">E18/F18</f>
        <v>4.5</v>
      </c>
      <c r="H18" s="13" t="n">
        <f aca="false">INDEX(Türme!$L$2:$L$7,MATCH($A18,Türme!$A$2:$A$7,0)) + SUMIFS(Upgrades!$K$2:$K$37,Upgrades!$A$2:$A$37,$A18,Upgrades!$B$2:$B$37,$B18,Upgrades!$E$2:$E$37,"&lt;="&amp;$D18) + SUMIFS(Upgrades!$X$2:$X$37,Upgrades!$A$2:$A$37,$A18,Upgrades!$B$2:$B$37,$B18,Upgrades!$E$2:$E$37,"&lt;="&amp;$D18)</f>
        <v>5.5</v>
      </c>
      <c r="I18" s="13" t="n">
        <f aca="false">INDEX(Türme!$G$2:$G$7,MATCH($A18,Türme!$A$2:$A$7,0)) + SUMIFS(Upgrades!$O$2:$O$37,Upgrades!$A$2:$A$37,$A18,Upgrades!$B$2:$B$37,$B18,Upgrades!$E$2:$E$37,"&lt;="&amp;$D18) + SUMIFS(Upgrades!$U$2:$U$37,Upgrades!$A$2:$A$37,$A18,Upgrades!$B$2:$B$37,$B18,Upgrades!$E$2:$E$37,"&lt;="&amp;$D18)</f>
        <v>110</v>
      </c>
      <c r="J18" s="13" t="n">
        <f aca="false">INDEX(Türme!$I$2:$I$7,MATCH($A18,Türme!$A$2:$A$7,0)) + SUMIFS(Upgrades!$Z$2:$Z$37,Upgrades!$A$2:$A$37,$A18,Upgrades!$B$2:$B$37,$B18,Upgrades!$E$2:$E$37,"&lt;="&amp;$D18)</f>
        <v>3</v>
      </c>
      <c r="K18" s="13" t="n">
        <f aca="false">INDEX(Türme!$J$2:$J$7,MATCH($A18,Türme!$A$2:$A$7,0)) + SUMIFS(Upgrades!$AA$2:$AA$37,Upgrades!$A$2:$A$37,$A18,Upgrades!$B$2:$B$37,$B18,Upgrades!$E$2:$E$37,"&lt;="&amp;$D18)</f>
        <v>3</v>
      </c>
      <c r="L18" s="15" t="n">
        <f aca="false">MIN(1,INDEX(Türme!$R$2:$R$7,MATCH($A18,Türme!$A$2:$A$7,0)) + SUMIFS(Upgrades!$AB$2:$AB$37,Upgrades!$A$2:$A$37,$A18,Upgrades!$B$2:$B$37,$B18,Upgrades!$E$2:$E$37,"&lt;="&amp;$D18))</f>
        <v>0.15</v>
      </c>
      <c r="M18" s="13" t="n">
        <f aca="false">INDEX(Türme!$T$2:$T$7,MATCH($A18,Türme!$A$2:$A$7,0)) + SUMIFS(Upgrades!$AD$2:$AD$37,Upgrades!$A$2:$A$37,$A18,Upgrades!$B$2:$B$37,$B18,Upgrades!$E$2:$E$37,"&lt;="&amp;$D18)</f>
        <v>8</v>
      </c>
      <c r="N18" s="15" t="n">
        <f aca="false">MIN(1,INDEX(Türme!$U$2:$U$7,MATCH($A18,Türme!$A$2:$A$7,0)) + SUMIFS(Upgrades!$AE$2:$AE$37,Upgrades!$A$2:$A$37,$A18,Upgrades!$B$2:$B$37,$B18,Upgrades!$E$2:$E$37,"&lt;="&amp;$D18))</f>
        <v>0</v>
      </c>
      <c r="O18" s="13" t="n">
        <f aca="false">INDEX(Türme!$V$2:$V$7,MATCH($A18,Türme!$A$2:$A$7,0)) + SUMIFS(Upgrades!$AF$2:$AF$37,Upgrades!$A$2:$A$37,$A18,Upgrades!$B$2:$B$37,$B18,Upgrades!$E$2:$E$37,"&lt;="&amp;$D18)</f>
        <v>0</v>
      </c>
      <c r="P18" s="15" t="n">
        <f aca="false">MIN(1,INDEX(Türme!$W$2:$W$7,MATCH($A18,Türme!$A$2:$A$7,0)) + SUMIFS(Upgrades!$AG$2:$AG$37,Upgrades!$A$2:$A$37,$A18,Upgrades!$B$2:$B$37,$B18,Upgrades!$E$2:$E$37,"&lt;="&amp;$D18))</f>
        <v>0</v>
      </c>
      <c r="Q18" s="15" t="n">
        <f aca="false">MIN(1,INDEX(Türme!$X$2:$X$7,MATCH($A18,Türme!$A$2:$A$7,0)) + SUMIFS(Upgrades!$AH$2:$AH$37,Upgrades!$A$2:$A$37,$A18,Upgrades!$B$2:$B$37,$B18,Upgrades!$E$2:$E$37,"&lt;="&amp;$D18))</f>
        <v>0</v>
      </c>
    </row>
    <row r="19" customFormat="false" ht="15" hidden="false" customHeight="false" outlineLevel="0" collapsed="false">
      <c r="A19" s="12" t="s">
        <v>77</v>
      </c>
      <c r="B19" s="12" t="n">
        <v>1</v>
      </c>
      <c r="C19" s="12" t="s">
        <v>175</v>
      </c>
      <c r="D19" s="12" t="n">
        <v>2</v>
      </c>
      <c r="E19" s="13" t="n">
        <f aca="false">INDEX(Türme!$N$2:$N$7,MATCH($A19,Türme!$A$2:$A$7,0)) + SUMIFS(Upgrades!$J$2:$J$37,Upgrades!$A$2:$A$37,$A19,Upgrades!$B$2:$B$37,$B19,Upgrades!$E$2:$E$37,"&lt;="&amp;$D19) + SUMIFS(Upgrades!$W$2:$W$37,Upgrades!$A$2:$A$37,$A19,Upgrades!$B$2:$B$37,$B19,Upgrades!$E$2:$E$37,"&lt;="&amp;$D19)</f>
        <v>8</v>
      </c>
      <c r="F19" s="14" t="n">
        <f aca="false">MAX(0.1,INDEX(Türme!$O$2:$O$7,MATCH($A19,Türme!$A$2:$A$7,0)) - SUMIFS(Upgrades!$M$2:$M$37,Upgrades!$A$2:$A$37,$A19,Upgrades!$B$2:$B$37,$B19,Upgrades!$E$2:$E$37,"&lt;="&amp;$D19) - SUMIFS(Upgrades!$Y$2:$Y$37,Upgrades!$A$2:$A$37,$A19,Upgrades!$B$2:$B$37,$B19,Upgrades!$E$2:$E$37,"&lt;="&amp;$D19))</f>
        <v>2</v>
      </c>
      <c r="G19" s="13" t="n">
        <f aca="false">E19/F19</f>
        <v>4</v>
      </c>
      <c r="H19" s="13" t="n">
        <f aca="false">INDEX(Türme!$L$2:$L$7,MATCH($A19,Türme!$A$2:$A$7,0)) + SUMIFS(Upgrades!$K$2:$K$37,Upgrades!$A$2:$A$37,$A19,Upgrades!$B$2:$B$37,$B19,Upgrades!$E$2:$E$37,"&lt;="&amp;$D19) + SUMIFS(Upgrades!$X$2:$X$37,Upgrades!$A$2:$A$37,$A19,Upgrades!$B$2:$B$37,$B19,Upgrades!$E$2:$E$37,"&lt;="&amp;$D19)</f>
        <v>5.5</v>
      </c>
      <c r="I19" s="13" t="n">
        <f aca="false">INDEX(Türme!$G$2:$G$7,MATCH($A19,Türme!$A$2:$A$7,0)) + SUMIFS(Upgrades!$O$2:$O$37,Upgrades!$A$2:$A$37,$A19,Upgrades!$B$2:$B$37,$B19,Upgrades!$E$2:$E$37,"&lt;="&amp;$D19) + SUMIFS(Upgrades!$U$2:$U$37,Upgrades!$A$2:$A$37,$A19,Upgrades!$B$2:$B$37,$B19,Upgrades!$E$2:$E$37,"&lt;="&amp;$D19)</f>
        <v>150</v>
      </c>
      <c r="J19" s="13" t="n">
        <f aca="false">INDEX(Türme!$I$2:$I$7,MATCH($A19,Türme!$A$2:$A$7,0)) + SUMIFS(Upgrades!$Z$2:$Z$37,Upgrades!$A$2:$A$37,$A19,Upgrades!$B$2:$B$37,$B19,Upgrades!$E$2:$E$37,"&lt;="&amp;$D19)</f>
        <v>3</v>
      </c>
      <c r="K19" s="13" t="n">
        <f aca="false">INDEX(Türme!$J$2:$J$7,MATCH($A19,Türme!$A$2:$A$7,0)) + SUMIFS(Upgrades!$AA$2:$AA$37,Upgrades!$A$2:$A$37,$A19,Upgrades!$B$2:$B$37,$B19,Upgrades!$E$2:$E$37,"&lt;="&amp;$D19)</f>
        <v>3</v>
      </c>
      <c r="L19" s="15" t="n">
        <f aca="false">MIN(1,INDEX(Türme!$R$2:$R$7,MATCH($A19,Türme!$A$2:$A$7,0)) + SUMIFS(Upgrades!$AB$2:$AB$37,Upgrades!$A$2:$A$37,$A19,Upgrades!$B$2:$B$37,$B19,Upgrades!$E$2:$E$37,"&lt;="&amp;$D19))</f>
        <v>0</v>
      </c>
      <c r="M19" s="13" t="n">
        <f aca="false">INDEX(Türme!$T$2:$T$7,MATCH($A19,Türme!$A$2:$A$7,0)) + SUMIFS(Upgrades!$AD$2:$AD$37,Upgrades!$A$2:$A$37,$A19,Upgrades!$B$2:$B$37,$B19,Upgrades!$E$2:$E$37,"&lt;="&amp;$D19)</f>
        <v>0</v>
      </c>
      <c r="N19" s="15" t="n">
        <f aca="false">MIN(1,INDEX(Türme!$U$2:$U$7,MATCH($A19,Türme!$A$2:$A$7,0)) + SUMIFS(Upgrades!$AE$2:$AE$37,Upgrades!$A$2:$A$37,$A19,Upgrades!$B$2:$B$37,$B19,Upgrades!$E$2:$E$37,"&lt;="&amp;$D19))</f>
        <v>0</v>
      </c>
      <c r="O19" s="13" t="n">
        <f aca="false">INDEX(Türme!$V$2:$V$7,MATCH($A19,Türme!$A$2:$A$7,0)) + SUMIFS(Upgrades!$AF$2:$AF$37,Upgrades!$A$2:$A$37,$A19,Upgrades!$B$2:$B$37,$B19,Upgrades!$E$2:$E$37,"&lt;="&amp;$D19)</f>
        <v>0</v>
      </c>
      <c r="P19" s="15" t="n">
        <f aca="false">MIN(1,INDEX(Türme!$W$2:$W$7,MATCH($A19,Türme!$A$2:$A$7,0)) + SUMIFS(Upgrades!$AG$2:$AG$37,Upgrades!$A$2:$A$37,$A19,Upgrades!$B$2:$B$37,$B19,Upgrades!$E$2:$E$37,"&lt;="&amp;$D19))</f>
        <v>0</v>
      </c>
      <c r="Q19" s="15" t="n">
        <f aca="false">MIN(1,INDEX(Türme!$X$2:$X$7,MATCH($A19,Türme!$A$2:$A$7,0)) + SUMIFS(Upgrades!$AH$2:$AH$37,Upgrades!$A$2:$A$37,$A19,Upgrades!$B$2:$B$37,$B19,Upgrades!$E$2:$E$37,"&lt;="&amp;$D19))</f>
        <v>0.1</v>
      </c>
    </row>
    <row r="20" customFormat="false" ht="15" hidden="false" customHeight="false" outlineLevel="0" collapsed="false">
      <c r="A20" s="12" t="s">
        <v>77</v>
      </c>
      <c r="B20" s="12" t="n">
        <v>1</v>
      </c>
      <c r="C20" s="12" t="s">
        <v>175</v>
      </c>
      <c r="D20" s="12" t="n">
        <v>3</v>
      </c>
      <c r="E20" s="13" t="n">
        <f aca="false">INDEX(Türme!$N$2:$N$7,MATCH($A20,Türme!$A$2:$A$7,0)) + SUMIFS(Upgrades!$J$2:$J$37,Upgrades!$A$2:$A$37,$A20,Upgrades!$B$2:$B$37,$B20,Upgrades!$E$2:$E$37,"&lt;="&amp;$D20) + SUMIFS(Upgrades!$W$2:$W$37,Upgrades!$A$2:$A$37,$A20,Upgrades!$B$2:$B$37,$B20,Upgrades!$E$2:$E$37,"&lt;="&amp;$D20)</f>
        <v>10</v>
      </c>
      <c r="F20" s="14" t="n">
        <f aca="false">MAX(0.1,INDEX(Türme!$O$2:$O$7,MATCH($A20,Türme!$A$2:$A$7,0)) - SUMIFS(Upgrades!$M$2:$M$37,Upgrades!$A$2:$A$37,$A20,Upgrades!$B$2:$B$37,$B20,Upgrades!$E$2:$E$37,"&lt;="&amp;$D20) - SUMIFS(Upgrades!$Y$2:$Y$37,Upgrades!$A$2:$A$37,$A20,Upgrades!$B$2:$B$37,$B20,Upgrades!$E$2:$E$37,"&lt;="&amp;$D20))</f>
        <v>2</v>
      </c>
      <c r="G20" s="13" t="n">
        <f aca="false">E20/F20</f>
        <v>5</v>
      </c>
      <c r="H20" s="13" t="n">
        <f aca="false">INDEX(Türme!$L$2:$L$7,MATCH($A20,Türme!$A$2:$A$7,0)) + SUMIFS(Upgrades!$K$2:$K$37,Upgrades!$A$2:$A$37,$A20,Upgrades!$B$2:$B$37,$B20,Upgrades!$E$2:$E$37,"&lt;="&amp;$D20) + SUMIFS(Upgrades!$X$2:$X$37,Upgrades!$A$2:$A$37,$A20,Upgrades!$B$2:$B$37,$B20,Upgrades!$E$2:$E$37,"&lt;="&amp;$D20)</f>
        <v>5.5</v>
      </c>
      <c r="I20" s="13" t="n">
        <f aca="false">INDEX(Türme!$G$2:$G$7,MATCH($A20,Türme!$A$2:$A$7,0)) + SUMIFS(Upgrades!$O$2:$O$37,Upgrades!$A$2:$A$37,$A20,Upgrades!$B$2:$B$37,$B20,Upgrades!$E$2:$E$37,"&lt;="&amp;$D20) + SUMIFS(Upgrades!$U$2:$U$37,Upgrades!$A$2:$A$37,$A20,Upgrades!$B$2:$B$37,$B20,Upgrades!$E$2:$E$37,"&lt;="&amp;$D20)</f>
        <v>270</v>
      </c>
      <c r="J20" s="13" t="n">
        <f aca="false">INDEX(Türme!$I$2:$I$7,MATCH($A20,Türme!$A$2:$A$7,0)) + SUMIFS(Upgrades!$Z$2:$Z$37,Upgrades!$A$2:$A$37,$A20,Upgrades!$B$2:$B$37,$B20,Upgrades!$E$2:$E$37,"&lt;="&amp;$D20)</f>
        <v>3</v>
      </c>
      <c r="K20" s="13" t="n">
        <f aca="false">INDEX(Türme!$J$2:$J$7,MATCH($A20,Türme!$A$2:$A$7,0)) + SUMIFS(Upgrades!$AA$2:$AA$37,Upgrades!$A$2:$A$37,$A20,Upgrades!$B$2:$B$37,$B20,Upgrades!$E$2:$E$37,"&lt;="&amp;$D20)</f>
        <v>3</v>
      </c>
      <c r="L20" s="15" t="n">
        <f aca="false">MIN(1,INDEX(Türme!$R$2:$R$7,MATCH($A20,Türme!$A$2:$A$7,0)) + SUMIFS(Upgrades!$AB$2:$AB$37,Upgrades!$A$2:$A$37,$A20,Upgrades!$B$2:$B$37,$B20,Upgrades!$E$2:$E$37,"&lt;="&amp;$D20))</f>
        <v>0</v>
      </c>
      <c r="M20" s="13" t="n">
        <f aca="false">INDEX(Türme!$T$2:$T$7,MATCH($A20,Türme!$A$2:$A$7,0)) + SUMIFS(Upgrades!$AD$2:$AD$37,Upgrades!$A$2:$A$37,$A20,Upgrades!$B$2:$B$37,$B20,Upgrades!$E$2:$E$37,"&lt;="&amp;$D20)</f>
        <v>0</v>
      </c>
      <c r="N20" s="15" t="n">
        <f aca="false">MIN(1,INDEX(Türme!$U$2:$U$7,MATCH($A20,Türme!$A$2:$A$7,0)) + SUMIFS(Upgrades!$AE$2:$AE$37,Upgrades!$A$2:$A$37,$A20,Upgrades!$B$2:$B$37,$B20,Upgrades!$E$2:$E$37,"&lt;="&amp;$D20))</f>
        <v>0</v>
      </c>
      <c r="O20" s="13" t="n">
        <f aca="false">INDEX(Türme!$V$2:$V$7,MATCH($A20,Türme!$A$2:$A$7,0)) + SUMIFS(Upgrades!$AF$2:$AF$37,Upgrades!$A$2:$A$37,$A20,Upgrades!$B$2:$B$37,$B20,Upgrades!$E$2:$E$37,"&lt;="&amp;$D20)</f>
        <v>0</v>
      </c>
      <c r="P20" s="15" t="n">
        <f aca="false">MIN(1,INDEX(Türme!$W$2:$W$7,MATCH($A20,Türme!$A$2:$A$7,0)) + SUMIFS(Upgrades!$AG$2:$AG$37,Upgrades!$A$2:$A$37,$A20,Upgrades!$B$2:$B$37,$B20,Upgrades!$E$2:$E$37,"&lt;="&amp;$D20))</f>
        <v>0</v>
      </c>
      <c r="Q20" s="15" t="n">
        <f aca="false">MIN(1,INDEX(Türme!$X$2:$X$7,MATCH($A20,Türme!$A$2:$A$7,0)) + SUMIFS(Upgrades!$AH$2:$AH$37,Upgrades!$A$2:$A$37,$A20,Upgrades!$B$2:$B$37,$B20,Upgrades!$E$2:$E$37,"&lt;="&amp;$D20))</f>
        <v>0.2</v>
      </c>
    </row>
    <row r="21" customFormat="false" ht="15" hidden="false" customHeight="false" outlineLevel="0" collapsed="false">
      <c r="A21" s="12" t="s">
        <v>77</v>
      </c>
      <c r="B21" s="12" t="n">
        <v>2</v>
      </c>
      <c r="C21" s="12" t="s">
        <v>182</v>
      </c>
      <c r="D21" s="12" t="n">
        <v>2</v>
      </c>
      <c r="E21" s="13" t="n">
        <f aca="false">INDEX(Türme!$N$2:$N$7,MATCH($A21,Türme!$A$2:$A$7,0)) + SUMIFS(Upgrades!$J$2:$J$37,Upgrades!$A$2:$A$37,$A21,Upgrades!$B$2:$B$37,$B21,Upgrades!$E$2:$E$37,"&lt;="&amp;$D21) + SUMIFS(Upgrades!$W$2:$W$37,Upgrades!$A$2:$A$37,$A21,Upgrades!$B$2:$B$37,$B21,Upgrades!$E$2:$E$37,"&lt;="&amp;$D21)</f>
        <v>8</v>
      </c>
      <c r="F21" s="14" t="n">
        <f aca="false">MAX(0.1,INDEX(Türme!$O$2:$O$7,MATCH($A21,Türme!$A$2:$A$7,0)) - SUMIFS(Upgrades!$M$2:$M$37,Upgrades!$A$2:$A$37,$A21,Upgrades!$B$2:$B$37,$B21,Upgrades!$E$2:$E$37,"&lt;="&amp;$D21) - SUMIFS(Upgrades!$Y$2:$Y$37,Upgrades!$A$2:$A$37,$A21,Upgrades!$B$2:$B$37,$B21,Upgrades!$E$2:$E$37,"&lt;="&amp;$D21))</f>
        <v>2</v>
      </c>
      <c r="G21" s="13" t="n">
        <f aca="false">E21/F21</f>
        <v>4</v>
      </c>
      <c r="H21" s="13" t="n">
        <f aca="false">INDEX(Türme!$L$2:$L$7,MATCH($A21,Türme!$A$2:$A$7,0)) + SUMIFS(Upgrades!$K$2:$K$37,Upgrades!$A$2:$A$37,$A21,Upgrades!$B$2:$B$37,$B21,Upgrades!$E$2:$E$37,"&lt;="&amp;$D21) + SUMIFS(Upgrades!$X$2:$X$37,Upgrades!$A$2:$A$37,$A21,Upgrades!$B$2:$B$37,$B21,Upgrades!$E$2:$E$37,"&lt;="&amp;$D21)</f>
        <v>5.5</v>
      </c>
      <c r="I21" s="13" t="n">
        <f aca="false">INDEX(Türme!$G$2:$G$7,MATCH($A21,Türme!$A$2:$A$7,0)) + SUMIFS(Upgrades!$O$2:$O$37,Upgrades!$A$2:$A$37,$A21,Upgrades!$B$2:$B$37,$B21,Upgrades!$E$2:$E$37,"&lt;="&amp;$D21) + SUMIFS(Upgrades!$U$2:$U$37,Upgrades!$A$2:$A$37,$A21,Upgrades!$B$2:$B$37,$B21,Upgrades!$E$2:$E$37,"&lt;="&amp;$D21)</f>
        <v>110</v>
      </c>
      <c r="J21" s="13" t="n">
        <f aca="false">INDEX(Türme!$I$2:$I$7,MATCH($A21,Türme!$A$2:$A$7,0)) + SUMIFS(Upgrades!$Z$2:$Z$37,Upgrades!$A$2:$A$37,$A21,Upgrades!$B$2:$B$37,$B21,Upgrades!$E$2:$E$37,"&lt;="&amp;$D21)</f>
        <v>3</v>
      </c>
      <c r="K21" s="13" t="n">
        <f aca="false">INDEX(Türme!$J$2:$J$7,MATCH($A21,Türme!$A$2:$A$7,0)) + SUMIFS(Upgrades!$AA$2:$AA$37,Upgrades!$A$2:$A$37,$A21,Upgrades!$B$2:$B$37,$B21,Upgrades!$E$2:$E$37,"&lt;="&amp;$D21)</f>
        <v>18</v>
      </c>
      <c r="L21" s="15" t="n">
        <f aca="false">MIN(1,INDEX(Türme!$R$2:$R$7,MATCH($A21,Türme!$A$2:$A$7,0)) + SUMIFS(Upgrades!$AB$2:$AB$37,Upgrades!$A$2:$A$37,$A21,Upgrades!$B$2:$B$37,$B21,Upgrades!$E$2:$E$37,"&lt;="&amp;$D21))</f>
        <v>0</v>
      </c>
      <c r="M21" s="13" t="n">
        <f aca="false">INDEX(Türme!$T$2:$T$7,MATCH($A21,Türme!$A$2:$A$7,0)) + SUMIFS(Upgrades!$AD$2:$AD$37,Upgrades!$A$2:$A$37,$A21,Upgrades!$B$2:$B$37,$B21,Upgrades!$E$2:$E$37,"&lt;="&amp;$D21)</f>
        <v>0</v>
      </c>
      <c r="N21" s="15" t="n">
        <f aca="false">MIN(1,INDEX(Türme!$U$2:$U$7,MATCH($A21,Türme!$A$2:$A$7,0)) + SUMIFS(Upgrades!$AE$2:$AE$37,Upgrades!$A$2:$A$37,$A21,Upgrades!$B$2:$B$37,$B21,Upgrades!$E$2:$E$37,"&lt;="&amp;$D21))</f>
        <v>0</v>
      </c>
      <c r="O21" s="13" t="n">
        <f aca="false">INDEX(Türme!$V$2:$V$7,MATCH($A21,Türme!$A$2:$A$7,0)) + SUMIFS(Upgrades!$AF$2:$AF$37,Upgrades!$A$2:$A$37,$A21,Upgrades!$B$2:$B$37,$B21,Upgrades!$E$2:$E$37,"&lt;="&amp;$D21)</f>
        <v>0</v>
      </c>
      <c r="P21" s="15" t="n">
        <f aca="false">MIN(1,INDEX(Türme!$W$2:$W$7,MATCH($A21,Türme!$A$2:$A$7,0)) + SUMIFS(Upgrades!$AG$2:$AG$37,Upgrades!$A$2:$A$37,$A21,Upgrades!$B$2:$B$37,$B21,Upgrades!$E$2:$E$37,"&lt;="&amp;$D21))</f>
        <v>0</v>
      </c>
      <c r="Q21" s="15" t="n">
        <f aca="false">MIN(1,INDEX(Türme!$X$2:$X$7,MATCH($A21,Türme!$A$2:$A$7,0)) + SUMIFS(Upgrades!$AH$2:$AH$37,Upgrades!$A$2:$A$37,$A21,Upgrades!$B$2:$B$37,$B21,Upgrades!$E$2:$E$37,"&lt;="&amp;$D21))</f>
        <v>0</v>
      </c>
    </row>
    <row r="22" customFormat="false" ht="15" hidden="false" customHeight="false" outlineLevel="0" collapsed="false">
      <c r="A22" s="12" t="s">
        <v>77</v>
      </c>
      <c r="B22" s="12" t="n">
        <v>2</v>
      </c>
      <c r="C22" s="12" t="s">
        <v>182</v>
      </c>
      <c r="D22" s="12" t="n">
        <v>3</v>
      </c>
      <c r="E22" s="13" t="n">
        <f aca="false">INDEX(Türme!$N$2:$N$7,MATCH($A22,Türme!$A$2:$A$7,0)) + SUMIFS(Upgrades!$J$2:$J$37,Upgrades!$A$2:$A$37,$A22,Upgrades!$B$2:$B$37,$B22,Upgrades!$E$2:$E$37,"&lt;="&amp;$D22) + SUMIFS(Upgrades!$W$2:$W$37,Upgrades!$A$2:$A$37,$A22,Upgrades!$B$2:$B$37,$B22,Upgrades!$E$2:$E$37,"&lt;="&amp;$D22)</f>
        <v>8</v>
      </c>
      <c r="F22" s="14" t="n">
        <f aca="false">MAX(0.1,INDEX(Türme!$O$2:$O$7,MATCH($A22,Türme!$A$2:$A$7,0)) - SUMIFS(Upgrades!$M$2:$M$37,Upgrades!$A$2:$A$37,$A22,Upgrades!$B$2:$B$37,$B22,Upgrades!$E$2:$E$37,"&lt;="&amp;$D22) - SUMIFS(Upgrades!$Y$2:$Y$37,Upgrades!$A$2:$A$37,$A22,Upgrades!$B$2:$B$37,$B22,Upgrades!$E$2:$E$37,"&lt;="&amp;$D22))</f>
        <v>2</v>
      </c>
      <c r="G22" s="13" t="n">
        <f aca="false">E22/F22</f>
        <v>4</v>
      </c>
      <c r="H22" s="13" t="n">
        <f aca="false">INDEX(Türme!$L$2:$L$7,MATCH($A22,Türme!$A$2:$A$7,0)) + SUMIFS(Upgrades!$K$2:$K$37,Upgrades!$A$2:$A$37,$A22,Upgrades!$B$2:$B$37,$B22,Upgrades!$E$2:$E$37,"&lt;="&amp;$D22) + SUMIFS(Upgrades!$X$2:$X$37,Upgrades!$A$2:$A$37,$A22,Upgrades!$B$2:$B$37,$B22,Upgrades!$E$2:$E$37,"&lt;="&amp;$D22)</f>
        <v>5.5</v>
      </c>
      <c r="I22" s="13" t="n">
        <f aca="false">INDEX(Türme!$G$2:$G$7,MATCH($A22,Türme!$A$2:$A$7,0)) + SUMIFS(Upgrades!$O$2:$O$37,Upgrades!$A$2:$A$37,$A22,Upgrades!$B$2:$B$37,$B22,Upgrades!$E$2:$E$37,"&lt;="&amp;$D22) + SUMIFS(Upgrades!$U$2:$U$37,Upgrades!$A$2:$A$37,$A22,Upgrades!$B$2:$B$37,$B22,Upgrades!$E$2:$E$37,"&lt;="&amp;$D22)</f>
        <v>190</v>
      </c>
      <c r="J22" s="13" t="n">
        <f aca="false">INDEX(Türme!$I$2:$I$7,MATCH($A22,Türme!$A$2:$A$7,0)) + SUMIFS(Upgrades!$Z$2:$Z$37,Upgrades!$A$2:$A$37,$A22,Upgrades!$B$2:$B$37,$B22,Upgrades!$E$2:$E$37,"&lt;="&amp;$D22)</f>
        <v>18</v>
      </c>
      <c r="K22" s="13" t="n">
        <f aca="false">INDEX(Türme!$J$2:$J$7,MATCH($A22,Türme!$A$2:$A$7,0)) + SUMIFS(Upgrades!$AA$2:$AA$37,Upgrades!$A$2:$A$37,$A22,Upgrades!$B$2:$B$37,$B22,Upgrades!$E$2:$E$37,"&lt;="&amp;$D22)</f>
        <v>48</v>
      </c>
      <c r="L22" s="15" t="n">
        <f aca="false">MIN(1,INDEX(Türme!$R$2:$R$7,MATCH($A22,Türme!$A$2:$A$7,0)) + SUMIFS(Upgrades!$AB$2:$AB$37,Upgrades!$A$2:$A$37,$A22,Upgrades!$B$2:$B$37,$B22,Upgrades!$E$2:$E$37,"&lt;="&amp;$D22))</f>
        <v>0</v>
      </c>
      <c r="M22" s="13" t="n">
        <f aca="false">INDEX(Türme!$T$2:$T$7,MATCH($A22,Türme!$A$2:$A$7,0)) + SUMIFS(Upgrades!$AD$2:$AD$37,Upgrades!$A$2:$A$37,$A22,Upgrades!$B$2:$B$37,$B22,Upgrades!$E$2:$E$37,"&lt;="&amp;$D22)</f>
        <v>0</v>
      </c>
      <c r="N22" s="15" t="n">
        <f aca="false">MIN(1,INDEX(Türme!$U$2:$U$7,MATCH($A22,Türme!$A$2:$A$7,0)) + SUMIFS(Upgrades!$AE$2:$AE$37,Upgrades!$A$2:$A$37,$A22,Upgrades!$B$2:$B$37,$B22,Upgrades!$E$2:$E$37,"&lt;="&amp;$D22))</f>
        <v>0</v>
      </c>
      <c r="O22" s="13" t="n">
        <f aca="false">INDEX(Türme!$V$2:$V$7,MATCH($A22,Türme!$A$2:$A$7,0)) + SUMIFS(Upgrades!$AF$2:$AF$37,Upgrades!$A$2:$A$37,$A22,Upgrades!$B$2:$B$37,$B22,Upgrades!$E$2:$E$37,"&lt;="&amp;$D22)</f>
        <v>0</v>
      </c>
      <c r="P22" s="15" t="n">
        <f aca="false">MIN(1,INDEX(Türme!$W$2:$W$7,MATCH($A22,Türme!$A$2:$A$7,0)) + SUMIFS(Upgrades!$AG$2:$AG$37,Upgrades!$A$2:$A$37,$A22,Upgrades!$B$2:$B$37,$B22,Upgrades!$E$2:$E$37,"&lt;="&amp;$D22))</f>
        <v>0</v>
      </c>
      <c r="Q22" s="15" t="n">
        <f aca="false">MIN(1,INDEX(Türme!$X$2:$X$7,MATCH($A22,Türme!$A$2:$A$7,0)) + SUMIFS(Upgrades!$AH$2:$AH$37,Upgrades!$A$2:$A$37,$A22,Upgrades!$B$2:$B$37,$B22,Upgrades!$E$2:$E$37,"&lt;="&amp;$D22))</f>
        <v>0</v>
      </c>
    </row>
    <row r="23" customFormat="false" ht="15" hidden="false" customHeight="false" outlineLevel="0" collapsed="false">
      <c r="A23" s="8" t="s">
        <v>82</v>
      </c>
      <c r="B23" s="8"/>
      <c r="C23" s="8" t="s">
        <v>328</v>
      </c>
      <c r="D23" s="8" t="n">
        <v>1</v>
      </c>
      <c r="E23" s="9" t="n">
        <f aca="false">INDEX(Türme!$N$2:$N$7,MATCH($A23,Türme!$A$2:$A$7,0))</f>
        <v>6</v>
      </c>
      <c r="F23" s="10" t="n">
        <f aca="false">MAX(0.1,INDEX(Türme!$O$2:$O$7,MATCH($A23,Türme!$A$2:$A$7,0)))</f>
        <v>2.4</v>
      </c>
      <c r="G23" s="9" t="n">
        <f aca="false">E23/F23</f>
        <v>2.5</v>
      </c>
      <c r="H23" s="9" t="n">
        <f aca="false">INDEX(Türme!$L$2:$L$7,MATCH($A23,Türme!$A$2:$A$7,0))</f>
        <v>5</v>
      </c>
      <c r="I23" s="9" t="n">
        <f aca="false">INDEX(Türme!$G$2:$G$7,MATCH($A23,Türme!$A$2:$A$7,0))</f>
        <v>120</v>
      </c>
      <c r="J23" s="9" t="n">
        <f aca="false">INDEX(Türme!$I$2:$I$7,MATCH($A23,Türme!$A$2:$A$7,0))</f>
        <v>5</v>
      </c>
      <c r="K23" s="9" t="n">
        <f aca="false">INDEX(Türme!$J$2:$J$7,MATCH($A23,Türme!$A$2:$A$7,0))</f>
        <v>5</v>
      </c>
      <c r="L23" s="11" t="n">
        <f aca="false">MIN(1,INDEX(Türme!$R$2:$R$7,MATCH($A23,Türme!$A$2:$A$7,0)))</f>
        <v>0</v>
      </c>
      <c r="M23" s="9" t="n">
        <f aca="false">INDEX(Türme!$T$2:$T$7,MATCH($A23,Türme!$A$2:$A$7,0))</f>
        <v>0</v>
      </c>
      <c r="N23" s="11" t="n">
        <f aca="false">MIN(1,INDEX(Türme!$U$2:$U$7,MATCH($A23,Türme!$A$2:$A$7,0)))</f>
        <v>0</v>
      </c>
      <c r="O23" s="9" t="n">
        <f aca="false">INDEX(Türme!$V$2:$V$7,MATCH($A23,Türme!$A$2:$A$7,0))</f>
        <v>0</v>
      </c>
      <c r="P23" s="11" t="n">
        <f aca="false">MIN(1,INDEX(Türme!$W$2:$W$7,MATCH($A23,Türme!$A$2:$A$7,0)))</f>
        <v>0</v>
      </c>
      <c r="Q23" s="11" t="n">
        <f aca="false">MIN(1,INDEX(Türme!$X$2:$X$7,MATCH($A23,Türme!$A$2:$A$7,0)))</f>
        <v>0</v>
      </c>
    </row>
    <row r="24" customFormat="false" ht="15" hidden="false" customHeight="false" outlineLevel="0" collapsed="false">
      <c r="A24" s="12" t="s">
        <v>82</v>
      </c>
      <c r="B24" s="12" t="n">
        <v>0</v>
      </c>
      <c r="C24" s="12" t="s">
        <v>189</v>
      </c>
      <c r="D24" s="12" t="n">
        <v>2</v>
      </c>
      <c r="E24" s="13" t="n">
        <f aca="false">INDEX(Türme!$N$2:$N$7,MATCH($A24,Türme!$A$2:$A$7,0)) + SUMIFS(Upgrades!$J$2:$J$37,Upgrades!$A$2:$A$37,$A24,Upgrades!$B$2:$B$37,$B24,Upgrades!$E$2:$E$37,"&lt;="&amp;$D24) + SUMIFS(Upgrades!$W$2:$W$37,Upgrades!$A$2:$A$37,$A24,Upgrades!$B$2:$B$37,$B24,Upgrades!$E$2:$E$37,"&lt;="&amp;$D24)</f>
        <v>6</v>
      </c>
      <c r="F24" s="14" t="n">
        <f aca="false">MAX(0.1,INDEX(Türme!$O$2:$O$7,MATCH($A24,Türme!$A$2:$A$7,0)) - SUMIFS(Upgrades!$M$2:$M$37,Upgrades!$A$2:$A$37,$A24,Upgrades!$B$2:$B$37,$B24,Upgrades!$E$2:$E$37,"&lt;="&amp;$D24) - SUMIFS(Upgrades!$Y$2:$Y$37,Upgrades!$A$2:$A$37,$A24,Upgrades!$B$2:$B$37,$B24,Upgrades!$E$2:$E$37,"&lt;="&amp;$D24))</f>
        <v>2.4</v>
      </c>
      <c r="G24" s="13" t="n">
        <f aca="false">E24/F24</f>
        <v>2.5</v>
      </c>
      <c r="H24" s="13" t="n">
        <f aca="false">INDEX(Türme!$L$2:$L$7,MATCH($A24,Türme!$A$2:$A$7,0)) + SUMIFS(Upgrades!$K$2:$K$37,Upgrades!$A$2:$A$37,$A24,Upgrades!$B$2:$B$37,$B24,Upgrades!$E$2:$E$37,"&lt;="&amp;$D24) + SUMIFS(Upgrades!$X$2:$X$37,Upgrades!$A$2:$A$37,$A24,Upgrades!$B$2:$B$37,$B24,Upgrades!$E$2:$E$37,"&lt;="&amp;$D24)</f>
        <v>5.4</v>
      </c>
      <c r="I24" s="13" t="n">
        <f aca="false">INDEX(Türme!$G$2:$G$7,MATCH($A24,Türme!$A$2:$A$7,0)) + SUMIFS(Upgrades!$O$2:$O$37,Upgrades!$A$2:$A$37,$A24,Upgrades!$B$2:$B$37,$B24,Upgrades!$E$2:$E$37,"&lt;="&amp;$D24) + SUMIFS(Upgrades!$U$2:$U$37,Upgrades!$A$2:$A$37,$A24,Upgrades!$B$2:$B$37,$B24,Upgrades!$E$2:$E$37,"&lt;="&amp;$D24)</f>
        <v>120</v>
      </c>
      <c r="J24" s="13" t="n">
        <f aca="false">INDEX(Türme!$I$2:$I$7,MATCH($A24,Türme!$A$2:$A$7,0)) + SUMIFS(Upgrades!$Z$2:$Z$37,Upgrades!$A$2:$A$37,$A24,Upgrades!$B$2:$B$37,$B24,Upgrades!$E$2:$E$37,"&lt;="&amp;$D24)</f>
        <v>5</v>
      </c>
      <c r="K24" s="13" t="n">
        <f aca="false">INDEX(Türme!$J$2:$J$7,MATCH($A24,Türme!$A$2:$A$7,0)) + SUMIFS(Upgrades!$AA$2:$AA$37,Upgrades!$A$2:$A$37,$A24,Upgrades!$B$2:$B$37,$B24,Upgrades!$E$2:$E$37,"&lt;="&amp;$D24)</f>
        <v>5</v>
      </c>
      <c r="L24" s="15" t="n">
        <f aca="false">MIN(1,INDEX(Türme!$R$2:$R$7,MATCH($A24,Türme!$A$2:$A$7,0)) + SUMIFS(Upgrades!$AB$2:$AB$37,Upgrades!$A$2:$A$37,$A24,Upgrades!$B$2:$B$37,$B24,Upgrades!$E$2:$E$37,"&lt;="&amp;$D24))</f>
        <v>0</v>
      </c>
      <c r="M24" s="13" t="n">
        <f aca="false">INDEX(Türme!$T$2:$T$7,MATCH($A24,Türme!$A$2:$A$7,0)) + SUMIFS(Upgrades!$AD$2:$AD$37,Upgrades!$A$2:$A$37,$A24,Upgrades!$B$2:$B$37,$B24,Upgrades!$E$2:$E$37,"&lt;="&amp;$D24)</f>
        <v>0</v>
      </c>
      <c r="N24" s="15" t="n">
        <f aca="false">MIN(1,INDEX(Türme!$U$2:$U$7,MATCH($A24,Türme!$A$2:$A$7,0)) + SUMIFS(Upgrades!$AE$2:$AE$37,Upgrades!$A$2:$A$37,$A24,Upgrades!$B$2:$B$37,$B24,Upgrades!$E$2:$E$37,"&lt;="&amp;$D24))</f>
        <v>0</v>
      </c>
      <c r="O24" s="13" t="n">
        <f aca="false">INDEX(Türme!$V$2:$V$7,MATCH($A24,Türme!$A$2:$A$7,0)) + SUMIFS(Upgrades!$AF$2:$AF$37,Upgrades!$A$2:$A$37,$A24,Upgrades!$B$2:$B$37,$B24,Upgrades!$E$2:$E$37,"&lt;="&amp;$D24)</f>
        <v>0</v>
      </c>
      <c r="P24" s="15" t="n">
        <f aca="false">MIN(1,INDEX(Türme!$W$2:$W$7,MATCH($A24,Türme!$A$2:$A$7,0)) + SUMIFS(Upgrades!$AG$2:$AG$37,Upgrades!$A$2:$A$37,$A24,Upgrades!$B$2:$B$37,$B24,Upgrades!$E$2:$E$37,"&lt;="&amp;$D24))</f>
        <v>0</v>
      </c>
      <c r="Q24" s="15" t="n">
        <f aca="false">MIN(1,INDEX(Türme!$X$2:$X$7,MATCH($A24,Türme!$A$2:$A$7,0)) + SUMIFS(Upgrades!$AH$2:$AH$37,Upgrades!$A$2:$A$37,$A24,Upgrades!$B$2:$B$37,$B24,Upgrades!$E$2:$E$37,"&lt;="&amp;$D24))</f>
        <v>0</v>
      </c>
    </row>
    <row r="25" customFormat="false" ht="15" hidden="false" customHeight="false" outlineLevel="0" collapsed="false">
      <c r="A25" s="12" t="s">
        <v>82</v>
      </c>
      <c r="B25" s="12" t="n">
        <v>0</v>
      </c>
      <c r="C25" s="12" t="s">
        <v>189</v>
      </c>
      <c r="D25" s="12" t="n">
        <v>3</v>
      </c>
      <c r="E25" s="13" t="n">
        <f aca="false">INDEX(Türme!$N$2:$N$7,MATCH($A25,Türme!$A$2:$A$7,0)) + SUMIFS(Upgrades!$J$2:$J$37,Upgrades!$A$2:$A$37,$A25,Upgrades!$B$2:$B$37,$B25,Upgrades!$E$2:$E$37,"&lt;="&amp;$D25) + SUMIFS(Upgrades!$W$2:$W$37,Upgrades!$A$2:$A$37,$A25,Upgrades!$B$2:$B$37,$B25,Upgrades!$E$2:$E$37,"&lt;="&amp;$D25)</f>
        <v>8</v>
      </c>
      <c r="F25" s="14" t="n">
        <f aca="false">MAX(0.1,INDEX(Türme!$O$2:$O$7,MATCH($A25,Türme!$A$2:$A$7,0)) - SUMIFS(Upgrades!$M$2:$M$37,Upgrades!$A$2:$A$37,$A25,Upgrades!$B$2:$B$37,$B25,Upgrades!$E$2:$E$37,"&lt;="&amp;$D25) - SUMIFS(Upgrades!$Y$2:$Y$37,Upgrades!$A$2:$A$37,$A25,Upgrades!$B$2:$B$37,$B25,Upgrades!$E$2:$E$37,"&lt;="&amp;$D25))</f>
        <v>2.4</v>
      </c>
      <c r="G25" s="13" t="n">
        <f aca="false">E25/F25</f>
        <v>3.33333333333333</v>
      </c>
      <c r="H25" s="13" t="n">
        <f aca="false">INDEX(Türme!$L$2:$L$7,MATCH($A25,Türme!$A$2:$A$7,0)) + SUMIFS(Upgrades!$K$2:$K$37,Upgrades!$A$2:$A$37,$A25,Upgrades!$B$2:$B$37,$B25,Upgrades!$E$2:$E$37,"&lt;="&amp;$D25) + SUMIFS(Upgrades!$X$2:$X$37,Upgrades!$A$2:$A$37,$A25,Upgrades!$B$2:$B$37,$B25,Upgrades!$E$2:$E$37,"&lt;="&amp;$D25)</f>
        <v>5.4</v>
      </c>
      <c r="I25" s="13" t="n">
        <f aca="false">INDEX(Türme!$G$2:$G$7,MATCH($A25,Türme!$A$2:$A$7,0)) + SUMIFS(Upgrades!$O$2:$O$37,Upgrades!$A$2:$A$37,$A25,Upgrades!$B$2:$B$37,$B25,Upgrades!$E$2:$E$37,"&lt;="&amp;$D25) + SUMIFS(Upgrades!$U$2:$U$37,Upgrades!$A$2:$A$37,$A25,Upgrades!$B$2:$B$37,$B25,Upgrades!$E$2:$E$37,"&lt;="&amp;$D25)</f>
        <v>120</v>
      </c>
      <c r="J25" s="13" t="n">
        <f aca="false">INDEX(Türme!$I$2:$I$7,MATCH($A25,Türme!$A$2:$A$7,0)) + SUMIFS(Upgrades!$Z$2:$Z$37,Upgrades!$A$2:$A$37,$A25,Upgrades!$B$2:$B$37,$B25,Upgrades!$E$2:$E$37,"&lt;="&amp;$D25)</f>
        <v>5</v>
      </c>
      <c r="K25" s="13" t="n">
        <f aca="false">INDEX(Türme!$J$2:$J$7,MATCH($A25,Türme!$A$2:$A$7,0)) + SUMIFS(Upgrades!$AA$2:$AA$37,Upgrades!$A$2:$A$37,$A25,Upgrades!$B$2:$B$37,$B25,Upgrades!$E$2:$E$37,"&lt;="&amp;$D25)</f>
        <v>5</v>
      </c>
      <c r="L25" s="15" t="n">
        <f aca="false">MIN(1,INDEX(Türme!$R$2:$R$7,MATCH($A25,Türme!$A$2:$A$7,0)) + SUMIFS(Upgrades!$AB$2:$AB$37,Upgrades!$A$2:$A$37,$A25,Upgrades!$B$2:$B$37,$B25,Upgrades!$E$2:$E$37,"&lt;="&amp;$D25))</f>
        <v>0</v>
      </c>
      <c r="M25" s="13" t="n">
        <f aca="false">INDEX(Türme!$T$2:$T$7,MATCH($A25,Türme!$A$2:$A$7,0)) + SUMIFS(Upgrades!$AD$2:$AD$37,Upgrades!$A$2:$A$37,$A25,Upgrades!$B$2:$B$37,$B25,Upgrades!$E$2:$E$37,"&lt;="&amp;$D25)</f>
        <v>0</v>
      </c>
      <c r="N25" s="15" t="n">
        <f aca="false">MIN(1,INDEX(Türme!$U$2:$U$7,MATCH($A25,Türme!$A$2:$A$7,0)) + SUMIFS(Upgrades!$AE$2:$AE$37,Upgrades!$A$2:$A$37,$A25,Upgrades!$B$2:$B$37,$B25,Upgrades!$E$2:$E$37,"&lt;="&amp;$D25))</f>
        <v>0.1</v>
      </c>
      <c r="O25" s="13" t="n">
        <f aca="false">INDEX(Türme!$V$2:$V$7,MATCH($A25,Türme!$A$2:$A$7,0)) + SUMIFS(Upgrades!$AF$2:$AF$37,Upgrades!$A$2:$A$37,$A25,Upgrades!$B$2:$B$37,$B25,Upgrades!$E$2:$E$37,"&lt;="&amp;$D25)</f>
        <v>0</v>
      </c>
      <c r="P25" s="15" t="n">
        <f aca="false">MIN(1,INDEX(Türme!$W$2:$W$7,MATCH($A25,Türme!$A$2:$A$7,0)) + SUMIFS(Upgrades!$AG$2:$AG$37,Upgrades!$A$2:$A$37,$A25,Upgrades!$B$2:$B$37,$B25,Upgrades!$E$2:$E$37,"&lt;="&amp;$D25))</f>
        <v>0</v>
      </c>
      <c r="Q25" s="15" t="n">
        <f aca="false">MIN(1,INDEX(Türme!$X$2:$X$7,MATCH($A25,Türme!$A$2:$A$7,0)) + SUMIFS(Upgrades!$AH$2:$AH$37,Upgrades!$A$2:$A$37,$A25,Upgrades!$B$2:$B$37,$B25,Upgrades!$E$2:$E$37,"&lt;="&amp;$D25))</f>
        <v>0</v>
      </c>
    </row>
    <row r="26" customFormat="false" ht="15" hidden="false" customHeight="false" outlineLevel="0" collapsed="false">
      <c r="A26" s="12" t="s">
        <v>82</v>
      </c>
      <c r="B26" s="12" t="n">
        <v>1</v>
      </c>
      <c r="C26" s="12" t="s">
        <v>196</v>
      </c>
      <c r="D26" s="12" t="n">
        <v>2</v>
      </c>
      <c r="E26" s="13" t="n">
        <f aca="false">INDEX(Türme!$N$2:$N$7,MATCH($A26,Türme!$A$2:$A$7,0)) + SUMIFS(Upgrades!$J$2:$J$37,Upgrades!$A$2:$A$37,$A26,Upgrades!$B$2:$B$37,$B26,Upgrades!$E$2:$E$37,"&lt;="&amp;$D26) + SUMIFS(Upgrades!$W$2:$W$37,Upgrades!$A$2:$A$37,$A26,Upgrades!$B$2:$B$37,$B26,Upgrades!$E$2:$E$37,"&lt;="&amp;$D26)</f>
        <v>8</v>
      </c>
      <c r="F26" s="14" t="n">
        <f aca="false">MAX(0.1,INDEX(Türme!$O$2:$O$7,MATCH($A26,Türme!$A$2:$A$7,0)) - SUMIFS(Upgrades!$M$2:$M$37,Upgrades!$A$2:$A$37,$A26,Upgrades!$B$2:$B$37,$B26,Upgrades!$E$2:$E$37,"&lt;="&amp;$D26) - SUMIFS(Upgrades!$Y$2:$Y$37,Upgrades!$A$2:$A$37,$A26,Upgrades!$B$2:$B$37,$B26,Upgrades!$E$2:$E$37,"&lt;="&amp;$D26))</f>
        <v>2.4</v>
      </c>
      <c r="G26" s="13" t="n">
        <f aca="false">E26/F26</f>
        <v>3.33333333333333</v>
      </c>
      <c r="H26" s="13" t="n">
        <f aca="false">INDEX(Türme!$L$2:$L$7,MATCH($A26,Türme!$A$2:$A$7,0)) + SUMIFS(Upgrades!$K$2:$K$37,Upgrades!$A$2:$A$37,$A26,Upgrades!$B$2:$B$37,$B26,Upgrades!$E$2:$E$37,"&lt;="&amp;$D26) + SUMIFS(Upgrades!$X$2:$X$37,Upgrades!$A$2:$A$37,$A26,Upgrades!$B$2:$B$37,$B26,Upgrades!$E$2:$E$37,"&lt;="&amp;$D26)</f>
        <v>5</v>
      </c>
      <c r="I26" s="13" t="n">
        <f aca="false">INDEX(Türme!$G$2:$G$7,MATCH($A26,Türme!$A$2:$A$7,0)) + SUMIFS(Upgrades!$O$2:$O$37,Upgrades!$A$2:$A$37,$A26,Upgrades!$B$2:$B$37,$B26,Upgrades!$E$2:$E$37,"&lt;="&amp;$D26) + SUMIFS(Upgrades!$U$2:$U$37,Upgrades!$A$2:$A$37,$A26,Upgrades!$B$2:$B$37,$B26,Upgrades!$E$2:$E$37,"&lt;="&amp;$D26)</f>
        <v>120</v>
      </c>
      <c r="J26" s="13" t="n">
        <f aca="false">INDEX(Türme!$I$2:$I$7,MATCH($A26,Türme!$A$2:$A$7,0)) + SUMIFS(Upgrades!$Z$2:$Z$37,Upgrades!$A$2:$A$37,$A26,Upgrades!$B$2:$B$37,$B26,Upgrades!$E$2:$E$37,"&lt;="&amp;$D26)</f>
        <v>5</v>
      </c>
      <c r="K26" s="13" t="n">
        <f aca="false">INDEX(Türme!$J$2:$J$7,MATCH($A26,Türme!$A$2:$A$7,0)) + SUMIFS(Upgrades!$AA$2:$AA$37,Upgrades!$A$2:$A$37,$A26,Upgrades!$B$2:$B$37,$B26,Upgrades!$E$2:$E$37,"&lt;="&amp;$D26)</f>
        <v>5</v>
      </c>
      <c r="L26" s="15" t="n">
        <f aca="false">MIN(1,INDEX(Türme!$R$2:$R$7,MATCH($A26,Türme!$A$2:$A$7,0)) + SUMIFS(Upgrades!$AB$2:$AB$37,Upgrades!$A$2:$A$37,$A26,Upgrades!$B$2:$B$37,$B26,Upgrades!$E$2:$E$37,"&lt;="&amp;$D26))</f>
        <v>0</v>
      </c>
      <c r="M26" s="13" t="n">
        <f aca="false">INDEX(Türme!$T$2:$T$7,MATCH($A26,Türme!$A$2:$A$7,0)) + SUMIFS(Upgrades!$AD$2:$AD$37,Upgrades!$A$2:$A$37,$A26,Upgrades!$B$2:$B$37,$B26,Upgrades!$E$2:$E$37,"&lt;="&amp;$D26)</f>
        <v>0</v>
      </c>
      <c r="N26" s="15" t="n">
        <f aca="false">MIN(1,INDEX(Türme!$U$2:$U$7,MATCH($A26,Türme!$A$2:$A$7,0)) + SUMIFS(Upgrades!$AE$2:$AE$37,Upgrades!$A$2:$A$37,$A26,Upgrades!$B$2:$B$37,$B26,Upgrades!$E$2:$E$37,"&lt;="&amp;$D26))</f>
        <v>0</v>
      </c>
      <c r="O26" s="13" t="n">
        <f aca="false">INDEX(Türme!$V$2:$V$7,MATCH($A26,Türme!$A$2:$A$7,0)) + SUMIFS(Upgrades!$AF$2:$AF$37,Upgrades!$A$2:$A$37,$A26,Upgrades!$B$2:$B$37,$B26,Upgrades!$E$2:$E$37,"&lt;="&amp;$D26)</f>
        <v>0</v>
      </c>
      <c r="P26" s="15" t="n">
        <f aca="false">MIN(1,INDEX(Türme!$W$2:$W$7,MATCH($A26,Türme!$A$2:$A$7,0)) + SUMIFS(Upgrades!$AG$2:$AG$37,Upgrades!$A$2:$A$37,$A26,Upgrades!$B$2:$B$37,$B26,Upgrades!$E$2:$E$37,"&lt;="&amp;$D26))</f>
        <v>0</v>
      </c>
      <c r="Q26" s="15" t="n">
        <f aca="false">MIN(1,INDEX(Türme!$X$2:$X$7,MATCH($A26,Türme!$A$2:$A$7,0)) + SUMIFS(Upgrades!$AH$2:$AH$37,Upgrades!$A$2:$A$37,$A26,Upgrades!$B$2:$B$37,$B26,Upgrades!$E$2:$E$37,"&lt;="&amp;$D26))</f>
        <v>0</v>
      </c>
    </row>
    <row r="27" customFormat="false" ht="15" hidden="false" customHeight="false" outlineLevel="0" collapsed="false">
      <c r="A27" s="12" t="s">
        <v>82</v>
      </c>
      <c r="B27" s="12" t="n">
        <v>1</v>
      </c>
      <c r="C27" s="12" t="s">
        <v>196</v>
      </c>
      <c r="D27" s="12" t="n">
        <v>3</v>
      </c>
      <c r="E27" s="13" t="n">
        <f aca="false">INDEX(Türme!$N$2:$N$7,MATCH($A27,Türme!$A$2:$A$7,0)) + SUMIFS(Upgrades!$J$2:$J$37,Upgrades!$A$2:$A$37,$A27,Upgrades!$B$2:$B$37,$B27,Upgrades!$E$2:$E$37,"&lt;="&amp;$D27) + SUMIFS(Upgrades!$W$2:$W$37,Upgrades!$A$2:$A$37,$A27,Upgrades!$B$2:$B$37,$B27,Upgrades!$E$2:$E$37,"&lt;="&amp;$D27)</f>
        <v>8</v>
      </c>
      <c r="F27" s="14" t="n">
        <f aca="false">MAX(0.1,INDEX(Türme!$O$2:$O$7,MATCH($A27,Türme!$A$2:$A$7,0)) - SUMIFS(Upgrades!$M$2:$M$37,Upgrades!$A$2:$A$37,$A27,Upgrades!$B$2:$B$37,$B27,Upgrades!$E$2:$E$37,"&lt;="&amp;$D27) - SUMIFS(Upgrades!$Y$2:$Y$37,Upgrades!$A$2:$A$37,$A27,Upgrades!$B$2:$B$37,$B27,Upgrades!$E$2:$E$37,"&lt;="&amp;$D27))</f>
        <v>2.4</v>
      </c>
      <c r="G27" s="13" t="n">
        <f aca="false">E27/F27</f>
        <v>3.33333333333333</v>
      </c>
      <c r="H27" s="13" t="n">
        <f aca="false">INDEX(Türme!$L$2:$L$7,MATCH($A27,Türme!$A$2:$A$7,0)) + SUMIFS(Upgrades!$K$2:$K$37,Upgrades!$A$2:$A$37,$A27,Upgrades!$B$2:$B$37,$B27,Upgrades!$E$2:$E$37,"&lt;="&amp;$D27) + SUMIFS(Upgrades!$X$2:$X$37,Upgrades!$A$2:$A$37,$A27,Upgrades!$B$2:$B$37,$B27,Upgrades!$E$2:$E$37,"&lt;="&amp;$D27)</f>
        <v>5</v>
      </c>
      <c r="I27" s="13" t="n">
        <f aca="false">INDEX(Türme!$G$2:$G$7,MATCH($A27,Türme!$A$2:$A$7,0)) + SUMIFS(Upgrades!$O$2:$O$37,Upgrades!$A$2:$A$37,$A27,Upgrades!$B$2:$B$37,$B27,Upgrades!$E$2:$E$37,"&lt;="&amp;$D27) + SUMIFS(Upgrades!$U$2:$U$37,Upgrades!$A$2:$A$37,$A27,Upgrades!$B$2:$B$37,$B27,Upgrades!$E$2:$E$37,"&lt;="&amp;$D27)</f>
        <v>120</v>
      </c>
      <c r="J27" s="13" t="n">
        <f aca="false">INDEX(Türme!$I$2:$I$7,MATCH($A27,Türme!$A$2:$A$7,0)) + SUMIFS(Upgrades!$Z$2:$Z$37,Upgrades!$A$2:$A$37,$A27,Upgrades!$B$2:$B$37,$B27,Upgrades!$E$2:$E$37,"&lt;="&amp;$D27)</f>
        <v>5</v>
      </c>
      <c r="K27" s="13" t="n">
        <f aca="false">INDEX(Türme!$J$2:$J$7,MATCH($A27,Türme!$A$2:$A$7,0)) + SUMIFS(Upgrades!$AA$2:$AA$37,Upgrades!$A$2:$A$37,$A27,Upgrades!$B$2:$B$37,$B27,Upgrades!$E$2:$E$37,"&lt;="&amp;$D27)</f>
        <v>5</v>
      </c>
      <c r="L27" s="15" t="n">
        <f aca="false">MIN(1,INDEX(Türme!$R$2:$R$7,MATCH($A27,Türme!$A$2:$A$7,0)) + SUMIFS(Upgrades!$AB$2:$AB$37,Upgrades!$A$2:$A$37,$A27,Upgrades!$B$2:$B$37,$B27,Upgrades!$E$2:$E$37,"&lt;="&amp;$D27))</f>
        <v>0</v>
      </c>
      <c r="M27" s="13" t="n">
        <f aca="false">INDEX(Türme!$T$2:$T$7,MATCH($A27,Türme!$A$2:$A$7,0)) + SUMIFS(Upgrades!$AD$2:$AD$37,Upgrades!$A$2:$A$37,$A27,Upgrades!$B$2:$B$37,$B27,Upgrades!$E$2:$E$37,"&lt;="&amp;$D27)</f>
        <v>15</v>
      </c>
      <c r="N27" s="15" t="n">
        <f aca="false">MIN(1,INDEX(Türme!$U$2:$U$7,MATCH($A27,Türme!$A$2:$A$7,0)) + SUMIFS(Upgrades!$AE$2:$AE$37,Upgrades!$A$2:$A$37,$A27,Upgrades!$B$2:$B$37,$B27,Upgrades!$E$2:$E$37,"&lt;="&amp;$D27))</f>
        <v>0</v>
      </c>
      <c r="O27" s="13" t="n">
        <f aca="false">INDEX(Türme!$V$2:$V$7,MATCH($A27,Türme!$A$2:$A$7,0)) + SUMIFS(Upgrades!$AF$2:$AF$37,Upgrades!$A$2:$A$37,$A27,Upgrades!$B$2:$B$37,$B27,Upgrades!$E$2:$E$37,"&lt;="&amp;$D27)</f>
        <v>0</v>
      </c>
      <c r="P27" s="15" t="n">
        <f aca="false">MIN(1,INDEX(Türme!$W$2:$W$7,MATCH($A27,Türme!$A$2:$A$7,0)) + SUMIFS(Upgrades!$AG$2:$AG$37,Upgrades!$A$2:$A$37,$A27,Upgrades!$B$2:$B$37,$B27,Upgrades!$E$2:$E$37,"&lt;="&amp;$D27))</f>
        <v>0</v>
      </c>
      <c r="Q27" s="15" t="n">
        <f aca="false">MIN(1,INDEX(Türme!$X$2:$X$7,MATCH($A27,Türme!$A$2:$A$7,0)) + SUMIFS(Upgrades!$AH$2:$AH$37,Upgrades!$A$2:$A$37,$A27,Upgrades!$B$2:$B$37,$B27,Upgrades!$E$2:$E$37,"&lt;="&amp;$D27))</f>
        <v>0</v>
      </c>
    </row>
    <row r="28" customFormat="false" ht="15" hidden="false" customHeight="false" outlineLevel="0" collapsed="false">
      <c r="A28" s="12" t="s">
        <v>82</v>
      </c>
      <c r="B28" s="12" t="n">
        <v>2</v>
      </c>
      <c r="C28" s="12" t="s">
        <v>203</v>
      </c>
      <c r="D28" s="12" t="n">
        <v>2</v>
      </c>
      <c r="E28" s="13" t="n">
        <f aca="false">INDEX(Türme!$N$2:$N$7,MATCH($A28,Türme!$A$2:$A$7,0)) + SUMIFS(Upgrades!$J$2:$J$37,Upgrades!$A$2:$A$37,$A28,Upgrades!$B$2:$B$37,$B28,Upgrades!$E$2:$E$37,"&lt;="&amp;$D28) + SUMIFS(Upgrades!$W$2:$W$37,Upgrades!$A$2:$A$37,$A28,Upgrades!$B$2:$B$37,$B28,Upgrades!$E$2:$E$37,"&lt;="&amp;$D28)</f>
        <v>6</v>
      </c>
      <c r="F28" s="14" t="n">
        <f aca="false">MAX(0.1,INDEX(Türme!$O$2:$O$7,MATCH($A28,Türme!$A$2:$A$7,0)) - SUMIFS(Upgrades!$M$2:$M$37,Upgrades!$A$2:$A$37,$A28,Upgrades!$B$2:$B$37,$B28,Upgrades!$E$2:$E$37,"&lt;="&amp;$D28) - SUMIFS(Upgrades!$Y$2:$Y$37,Upgrades!$A$2:$A$37,$A28,Upgrades!$B$2:$B$37,$B28,Upgrades!$E$2:$E$37,"&lt;="&amp;$D28))</f>
        <v>2.4</v>
      </c>
      <c r="G28" s="13" t="n">
        <f aca="false">E28/F28</f>
        <v>2.5</v>
      </c>
      <c r="H28" s="13" t="n">
        <f aca="false">INDEX(Türme!$L$2:$L$7,MATCH($A28,Türme!$A$2:$A$7,0)) + SUMIFS(Upgrades!$K$2:$K$37,Upgrades!$A$2:$A$37,$A28,Upgrades!$B$2:$B$37,$B28,Upgrades!$E$2:$E$37,"&lt;="&amp;$D28) + SUMIFS(Upgrades!$X$2:$X$37,Upgrades!$A$2:$A$37,$A28,Upgrades!$B$2:$B$37,$B28,Upgrades!$E$2:$E$37,"&lt;="&amp;$D28)</f>
        <v>5</v>
      </c>
      <c r="I28" s="13" t="n">
        <f aca="false">INDEX(Türme!$G$2:$G$7,MATCH($A28,Türme!$A$2:$A$7,0)) + SUMIFS(Upgrades!$O$2:$O$37,Upgrades!$A$2:$A$37,$A28,Upgrades!$B$2:$B$37,$B28,Upgrades!$E$2:$E$37,"&lt;="&amp;$D28) + SUMIFS(Upgrades!$U$2:$U$37,Upgrades!$A$2:$A$37,$A28,Upgrades!$B$2:$B$37,$B28,Upgrades!$E$2:$E$37,"&lt;="&amp;$D28)</f>
        <v>120</v>
      </c>
      <c r="J28" s="13" t="n">
        <f aca="false">INDEX(Türme!$I$2:$I$7,MATCH($A28,Türme!$A$2:$A$7,0)) + SUMIFS(Upgrades!$Z$2:$Z$37,Upgrades!$A$2:$A$37,$A28,Upgrades!$B$2:$B$37,$B28,Upgrades!$E$2:$E$37,"&lt;="&amp;$D28)</f>
        <v>5</v>
      </c>
      <c r="K28" s="13" t="n">
        <f aca="false">INDEX(Türme!$J$2:$J$7,MATCH($A28,Türme!$A$2:$A$7,0)) + SUMIFS(Upgrades!$AA$2:$AA$37,Upgrades!$A$2:$A$37,$A28,Upgrades!$B$2:$B$37,$B28,Upgrades!$E$2:$E$37,"&lt;="&amp;$D28)</f>
        <v>5</v>
      </c>
      <c r="L28" s="15" t="n">
        <f aca="false">MIN(1,INDEX(Türme!$R$2:$R$7,MATCH($A28,Türme!$A$2:$A$7,0)) + SUMIFS(Upgrades!$AB$2:$AB$37,Upgrades!$A$2:$A$37,$A28,Upgrades!$B$2:$B$37,$B28,Upgrades!$E$2:$E$37,"&lt;="&amp;$D28))</f>
        <v>0</v>
      </c>
      <c r="M28" s="13" t="n">
        <f aca="false">INDEX(Türme!$T$2:$T$7,MATCH($A28,Türme!$A$2:$A$7,0)) + SUMIFS(Upgrades!$AD$2:$AD$37,Upgrades!$A$2:$A$37,$A28,Upgrades!$B$2:$B$37,$B28,Upgrades!$E$2:$E$37,"&lt;="&amp;$D28)</f>
        <v>0</v>
      </c>
      <c r="N28" s="15" t="n">
        <f aca="false">MIN(1,INDEX(Türme!$U$2:$U$7,MATCH($A28,Türme!$A$2:$A$7,0)) + SUMIFS(Upgrades!$AE$2:$AE$37,Upgrades!$A$2:$A$37,$A28,Upgrades!$B$2:$B$37,$B28,Upgrades!$E$2:$E$37,"&lt;="&amp;$D28))</f>
        <v>0</v>
      </c>
      <c r="O28" s="13" t="n">
        <f aca="false">INDEX(Türme!$V$2:$V$7,MATCH($A28,Türme!$A$2:$A$7,0)) + SUMIFS(Upgrades!$AF$2:$AF$37,Upgrades!$A$2:$A$37,$A28,Upgrades!$B$2:$B$37,$B28,Upgrades!$E$2:$E$37,"&lt;="&amp;$D28)</f>
        <v>0</v>
      </c>
      <c r="P28" s="15" t="n">
        <f aca="false">MIN(1,INDEX(Türme!$W$2:$W$7,MATCH($A28,Türme!$A$2:$A$7,0)) + SUMIFS(Upgrades!$AG$2:$AG$37,Upgrades!$A$2:$A$37,$A28,Upgrades!$B$2:$B$37,$B28,Upgrades!$E$2:$E$37,"&lt;="&amp;$D28))</f>
        <v>0</v>
      </c>
      <c r="Q28" s="15" t="n">
        <f aca="false">MIN(1,INDEX(Türme!$X$2:$X$7,MATCH($A28,Türme!$A$2:$A$7,0)) + SUMIFS(Upgrades!$AH$2:$AH$37,Upgrades!$A$2:$A$37,$A28,Upgrades!$B$2:$B$37,$B28,Upgrades!$E$2:$E$37,"&lt;="&amp;$D28))</f>
        <v>0</v>
      </c>
    </row>
    <row r="29" customFormat="false" ht="15" hidden="false" customHeight="false" outlineLevel="0" collapsed="false">
      <c r="A29" s="12" t="s">
        <v>82</v>
      </c>
      <c r="B29" s="12" t="n">
        <v>2</v>
      </c>
      <c r="C29" s="12" t="s">
        <v>203</v>
      </c>
      <c r="D29" s="12" t="n">
        <v>3</v>
      </c>
      <c r="E29" s="13" t="n">
        <f aca="false">INDEX(Türme!$N$2:$N$7,MATCH($A29,Türme!$A$2:$A$7,0)) + SUMIFS(Upgrades!$J$2:$J$37,Upgrades!$A$2:$A$37,$A29,Upgrades!$B$2:$B$37,$B29,Upgrades!$E$2:$E$37,"&lt;="&amp;$D29) + SUMIFS(Upgrades!$W$2:$W$37,Upgrades!$A$2:$A$37,$A29,Upgrades!$B$2:$B$37,$B29,Upgrades!$E$2:$E$37,"&lt;="&amp;$D29)</f>
        <v>6</v>
      </c>
      <c r="F29" s="14" t="n">
        <f aca="false">MAX(0.1,INDEX(Türme!$O$2:$O$7,MATCH($A29,Türme!$A$2:$A$7,0)) - SUMIFS(Upgrades!$M$2:$M$37,Upgrades!$A$2:$A$37,$A29,Upgrades!$B$2:$B$37,$B29,Upgrades!$E$2:$E$37,"&lt;="&amp;$D29) - SUMIFS(Upgrades!$Y$2:$Y$37,Upgrades!$A$2:$A$37,$A29,Upgrades!$B$2:$B$37,$B29,Upgrades!$E$2:$E$37,"&lt;="&amp;$D29))</f>
        <v>2.4</v>
      </c>
      <c r="G29" s="13" t="n">
        <f aca="false">E29/F29</f>
        <v>2.5</v>
      </c>
      <c r="H29" s="13" t="n">
        <f aca="false">INDEX(Türme!$L$2:$L$7,MATCH($A29,Türme!$A$2:$A$7,0)) + SUMIFS(Upgrades!$K$2:$K$37,Upgrades!$A$2:$A$37,$A29,Upgrades!$B$2:$B$37,$B29,Upgrades!$E$2:$E$37,"&lt;="&amp;$D29) + SUMIFS(Upgrades!$X$2:$X$37,Upgrades!$A$2:$A$37,$A29,Upgrades!$B$2:$B$37,$B29,Upgrades!$E$2:$E$37,"&lt;="&amp;$D29)</f>
        <v>5</v>
      </c>
      <c r="I29" s="13" t="n">
        <f aca="false">INDEX(Türme!$G$2:$G$7,MATCH($A29,Türme!$A$2:$A$7,0)) + SUMIFS(Upgrades!$O$2:$O$37,Upgrades!$A$2:$A$37,$A29,Upgrades!$B$2:$B$37,$B29,Upgrades!$E$2:$E$37,"&lt;="&amp;$D29) + SUMIFS(Upgrades!$U$2:$U$37,Upgrades!$A$2:$A$37,$A29,Upgrades!$B$2:$B$37,$B29,Upgrades!$E$2:$E$37,"&lt;="&amp;$D29)</f>
        <v>180</v>
      </c>
      <c r="J29" s="13" t="n">
        <f aca="false">INDEX(Türme!$I$2:$I$7,MATCH($A29,Türme!$A$2:$A$7,0)) + SUMIFS(Upgrades!$Z$2:$Z$37,Upgrades!$A$2:$A$37,$A29,Upgrades!$B$2:$B$37,$B29,Upgrades!$E$2:$E$37,"&lt;="&amp;$D29)</f>
        <v>5</v>
      </c>
      <c r="K29" s="13" t="n">
        <f aca="false">INDEX(Türme!$J$2:$J$7,MATCH($A29,Türme!$A$2:$A$7,0)) + SUMIFS(Upgrades!$AA$2:$AA$37,Upgrades!$A$2:$A$37,$A29,Upgrades!$B$2:$B$37,$B29,Upgrades!$E$2:$E$37,"&lt;="&amp;$D29)</f>
        <v>5</v>
      </c>
      <c r="L29" s="15" t="n">
        <f aca="false">MIN(1,INDEX(Türme!$R$2:$R$7,MATCH($A29,Türme!$A$2:$A$7,0)) + SUMIFS(Upgrades!$AB$2:$AB$37,Upgrades!$A$2:$A$37,$A29,Upgrades!$B$2:$B$37,$B29,Upgrades!$E$2:$E$37,"&lt;="&amp;$D29))</f>
        <v>0</v>
      </c>
      <c r="M29" s="13" t="n">
        <f aca="false">INDEX(Türme!$T$2:$T$7,MATCH($A29,Türme!$A$2:$A$7,0)) + SUMIFS(Upgrades!$AD$2:$AD$37,Upgrades!$A$2:$A$37,$A29,Upgrades!$B$2:$B$37,$B29,Upgrades!$E$2:$E$37,"&lt;="&amp;$D29)</f>
        <v>0</v>
      </c>
      <c r="N29" s="15" t="n">
        <f aca="false">MIN(1,INDEX(Türme!$U$2:$U$7,MATCH($A29,Türme!$A$2:$A$7,0)) + SUMIFS(Upgrades!$AE$2:$AE$37,Upgrades!$A$2:$A$37,$A29,Upgrades!$B$2:$B$37,$B29,Upgrades!$E$2:$E$37,"&lt;="&amp;$D29))</f>
        <v>0</v>
      </c>
      <c r="O29" s="13" t="n">
        <f aca="false">INDEX(Türme!$V$2:$V$7,MATCH($A29,Türme!$A$2:$A$7,0)) + SUMIFS(Upgrades!$AF$2:$AF$37,Upgrades!$A$2:$A$37,$A29,Upgrades!$B$2:$B$37,$B29,Upgrades!$E$2:$E$37,"&lt;="&amp;$D29)</f>
        <v>0</v>
      </c>
      <c r="P29" s="15" t="n">
        <f aca="false">MIN(1,INDEX(Türme!$W$2:$W$7,MATCH($A29,Türme!$A$2:$A$7,0)) + SUMIFS(Upgrades!$AG$2:$AG$37,Upgrades!$A$2:$A$37,$A29,Upgrades!$B$2:$B$37,$B29,Upgrades!$E$2:$E$37,"&lt;="&amp;$D29))</f>
        <v>0</v>
      </c>
      <c r="Q29" s="15" t="n">
        <f aca="false">MIN(1,INDEX(Türme!$X$2:$X$7,MATCH($A29,Türme!$A$2:$A$7,0)) + SUMIFS(Upgrades!$AH$2:$AH$37,Upgrades!$A$2:$A$37,$A29,Upgrades!$B$2:$B$37,$B29,Upgrades!$E$2:$E$37,"&lt;="&amp;$D29))</f>
        <v>0</v>
      </c>
    </row>
    <row r="30" customFormat="false" ht="15" hidden="false" customHeight="false" outlineLevel="0" collapsed="false">
      <c r="A30" s="8" t="s">
        <v>86</v>
      </c>
      <c r="B30" s="8"/>
      <c r="C30" s="8" t="s">
        <v>328</v>
      </c>
      <c r="D30" s="8" t="n">
        <v>1</v>
      </c>
      <c r="E30" s="9" t="n">
        <f aca="false">INDEX(Türme!$N$2:$N$7,MATCH($A30,Türme!$A$2:$A$7,0))</f>
        <v>4</v>
      </c>
      <c r="F30" s="10" t="n">
        <f aca="false">MAX(0.1,INDEX(Türme!$O$2:$O$7,MATCH($A30,Türme!$A$2:$A$7,0)))</f>
        <v>1.8</v>
      </c>
      <c r="G30" s="9" t="n">
        <f aca="false">E30/F30</f>
        <v>2.22222222222222</v>
      </c>
      <c r="H30" s="9" t="n">
        <f aca="false">INDEX(Türme!$L$2:$L$7,MATCH($A30,Türme!$A$2:$A$7,0))</f>
        <v>5.5</v>
      </c>
      <c r="I30" s="9" t="n">
        <f aca="false">INDEX(Türme!$G$2:$G$7,MATCH($A30,Türme!$A$2:$A$7,0))</f>
        <v>100</v>
      </c>
      <c r="J30" s="9" t="n">
        <f aca="false">INDEX(Türme!$I$2:$I$7,MATCH($A30,Türme!$A$2:$A$7,0))</f>
        <v>0</v>
      </c>
      <c r="K30" s="9" t="n">
        <f aca="false">INDEX(Türme!$J$2:$J$7,MATCH($A30,Türme!$A$2:$A$7,0))</f>
        <v>10</v>
      </c>
      <c r="L30" s="11" t="n">
        <f aca="false">MIN(1,INDEX(Türme!$R$2:$R$7,MATCH($A30,Türme!$A$2:$A$7,0)))</f>
        <v>0</v>
      </c>
      <c r="M30" s="9" t="n">
        <f aca="false">INDEX(Türme!$T$2:$T$7,MATCH($A30,Türme!$A$2:$A$7,0))</f>
        <v>0</v>
      </c>
      <c r="N30" s="11" t="n">
        <f aca="false">MIN(1,INDEX(Türme!$U$2:$U$7,MATCH($A30,Türme!$A$2:$A$7,0)))</f>
        <v>0</v>
      </c>
      <c r="O30" s="9" t="n">
        <f aca="false">INDEX(Türme!$V$2:$V$7,MATCH($A30,Türme!$A$2:$A$7,0))</f>
        <v>0</v>
      </c>
      <c r="P30" s="11" t="n">
        <f aca="false">MIN(1,INDEX(Türme!$W$2:$W$7,MATCH($A30,Türme!$A$2:$A$7,0)))</f>
        <v>0</v>
      </c>
      <c r="Q30" s="11" t="n">
        <f aca="false">MIN(1,INDEX(Türme!$X$2:$X$7,MATCH($A30,Türme!$A$2:$A$7,0)))</f>
        <v>0</v>
      </c>
    </row>
    <row r="31" customFormat="false" ht="15" hidden="false" customHeight="false" outlineLevel="0" collapsed="false">
      <c r="A31" s="12" t="s">
        <v>86</v>
      </c>
      <c r="B31" s="12" t="n">
        <v>0</v>
      </c>
      <c r="C31" s="12" t="s">
        <v>210</v>
      </c>
      <c r="D31" s="12" t="n">
        <v>2</v>
      </c>
      <c r="E31" s="13" t="n">
        <f aca="false">INDEX(Türme!$N$2:$N$7,MATCH($A31,Türme!$A$2:$A$7,0)) + SUMIFS(Upgrades!$J$2:$J$37,Upgrades!$A$2:$A$37,$A31,Upgrades!$B$2:$B$37,$B31,Upgrades!$E$2:$E$37,"&lt;="&amp;$D31) + SUMIFS(Upgrades!$W$2:$W$37,Upgrades!$A$2:$A$37,$A31,Upgrades!$B$2:$B$37,$B31,Upgrades!$E$2:$E$37,"&lt;="&amp;$D31)</f>
        <v>4</v>
      </c>
      <c r="F31" s="14" t="n">
        <f aca="false">MAX(0.1,INDEX(Türme!$O$2:$O$7,MATCH($A31,Türme!$A$2:$A$7,0)) - SUMIFS(Upgrades!$M$2:$M$37,Upgrades!$A$2:$A$37,$A31,Upgrades!$B$2:$B$37,$B31,Upgrades!$E$2:$E$37,"&lt;="&amp;$D31) - SUMIFS(Upgrades!$Y$2:$Y$37,Upgrades!$A$2:$A$37,$A31,Upgrades!$B$2:$B$37,$B31,Upgrades!$E$2:$E$37,"&lt;="&amp;$D31))</f>
        <v>1.8</v>
      </c>
      <c r="G31" s="13" t="n">
        <f aca="false">E31/F31</f>
        <v>2.22222222222222</v>
      </c>
      <c r="H31" s="13" t="n">
        <f aca="false">INDEX(Türme!$L$2:$L$7,MATCH($A31,Türme!$A$2:$A$7,0)) + SUMIFS(Upgrades!$K$2:$K$37,Upgrades!$A$2:$A$37,$A31,Upgrades!$B$2:$B$37,$B31,Upgrades!$E$2:$E$37,"&lt;="&amp;$D31) + SUMIFS(Upgrades!$X$2:$X$37,Upgrades!$A$2:$A$37,$A31,Upgrades!$B$2:$B$37,$B31,Upgrades!$E$2:$E$37,"&lt;="&amp;$D31)</f>
        <v>5.5</v>
      </c>
      <c r="I31" s="13" t="n">
        <f aca="false">INDEX(Türme!$G$2:$G$7,MATCH($A31,Türme!$A$2:$A$7,0)) + SUMIFS(Upgrades!$O$2:$O$37,Upgrades!$A$2:$A$37,$A31,Upgrades!$B$2:$B$37,$B31,Upgrades!$E$2:$E$37,"&lt;="&amp;$D31) + SUMIFS(Upgrades!$U$2:$U$37,Upgrades!$A$2:$A$37,$A31,Upgrades!$B$2:$B$37,$B31,Upgrades!$E$2:$E$37,"&lt;="&amp;$D31)</f>
        <v>120</v>
      </c>
      <c r="J31" s="13" t="n">
        <f aca="false">INDEX(Türme!$I$2:$I$7,MATCH($A31,Türme!$A$2:$A$7,0)) + SUMIFS(Upgrades!$Z$2:$Z$37,Upgrades!$A$2:$A$37,$A31,Upgrades!$B$2:$B$37,$B31,Upgrades!$E$2:$E$37,"&lt;="&amp;$D31)</f>
        <v>0</v>
      </c>
      <c r="K31" s="13" t="n">
        <f aca="false">INDEX(Türme!$J$2:$J$7,MATCH($A31,Türme!$A$2:$A$7,0)) + SUMIFS(Upgrades!$AA$2:$AA$37,Upgrades!$A$2:$A$37,$A31,Upgrades!$B$2:$B$37,$B31,Upgrades!$E$2:$E$37,"&lt;="&amp;$D31)</f>
        <v>10</v>
      </c>
      <c r="L31" s="15" t="n">
        <f aca="false">MIN(1,INDEX(Türme!$R$2:$R$7,MATCH($A31,Türme!$A$2:$A$7,0)) + SUMIFS(Upgrades!$AB$2:$AB$37,Upgrades!$A$2:$A$37,$A31,Upgrades!$B$2:$B$37,$B31,Upgrades!$E$2:$E$37,"&lt;="&amp;$D31))</f>
        <v>0</v>
      </c>
      <c r="M31" s="13" t="n">
        <f aca="false">INDEX(Türme!$T$2:$T$7,MATCH($A31,Türme!$A$2:$A$7,0)) + SUMIFS(Upgrades!$AD$2:$AD$37,Upgrades!$A$2:$A$37,$A31,Upgrades!$B$2:$B$37,$B31,Upgrades!$E$2:$E$37,"&lt;="&amp;$D31)</f>
        <v>0</v>
      </c>
      <c r="N31" s="15" t="n">
        <f aca="false">MIN(1,INDEX(Türme!$U$2:$U$7,MATCH($A31,Türme!$A$2:$A$7,0)) + SUMIFS(Upgrades!$AE$2:$AE$37,Upgrades!$A$2:$A$37,$A31,Upgrades!$B$2:$B$37,$B31,Upgrades!$E$2:$E$37,"&lt;="&amp;$D31))</f>
        <v>0</v>
      </c>
      <c r="O31" s="13" t="n">
        <f aca="false">INDEX(Türme!$V$2:$V$7,MATCH($A31,Türme!$A$2:$A$7,0)) + SUMIFS(Upgrades!$AF$2:$AF$37,Upgrades!$A$2:$A$37,$A31,Upgrades!$B$2:$B$37,$B31,Upgrades!$E$2:$E$37,"&lt;="&amp;$D31)</f>
        <v>0</v>
      </c>
      <c r="P31" s="15" t="n">
        <f aca="false">MIN(1,INDEX(Türme!$W$2:$W$7,MATCH($A31,Türme!$A$2:$A$7,0)) + SUMIFS(Upgrades!$AG$2:$AG$37,Upgrades!$A$2:$A$37,$A31,Upgrades!$B$2:$B$37,$B31,Upgrades!$E$2:$E$37,"&lt;="&amp;$D31))</f>
        <v>0</v>
      </c>
      <c r="Q31" s="15" t="n">
        <f aca="false">MIN(1,INDEX(Türme!$X$2:$X$7,MATCH($A31,Türme!$A$2:$A$7,0)) + SUMIFS(Upgrades!$AH$2:$AH$37,Upgrades!$A$2:$A$37,$A31,Upgrades!$B$2:$B$37,$B31,Upgrades!$E$2:$E$37,"&lt;="&amp;$D31))</f>
        <v>0</v>
      </c>
    </row>
    <row r="32" customFormat="false" ht="15" hidden="false" customHeight="false" outlineLevel="0" collapsed="false">
      <c r="A32" s="12" t="s">
        <v>86</v>
      </c>
      <c r="B32" s="12" t="n">
        <v>0</v>
      </c>
      <c r="C32" s="12" t="s">
        <v>210</v>
      </c>
      <c r="D32" s="12" t="n">
        <v>3</v>
      </c>
      <c r="E32" s="13" t="n">
        <f aca="false">INDEX(Türme!$N$2:$N$7,MATCH($A32,Türme!$A$2:$A$7,0)) + SUMIFS(Upgrades!$J$2:$J$37,Upgrades!$A$2:$A$37,$A32,Upgrades!$B$2:$B$37,$B32,Upgrades!$E$2:$E$37,"&lt;="&amp;$D32) + SUMIFS(Upgrades!$W$2:$W$37,Upgrades!$A$2:$A$37,$A32,Upgrades!$B$2:$B$37,$B32,Upgrades!$E$2:$E$37,"&lt;="&amp;$D32)</f>
        <v>5</v>
      </c>
      <c r="F32" s="14" t="n">
        <f aca="false">MAX(0.1,INDEX(Türme!$O$2:$O$7,MATCH($A32,Türme!$A$2:$A$7,0)) - SUMIFS(Upgrades!$M$2:$M$37,Upgrades!$A$2:$A$37,$A32,Upgrades!$B$2:$B$37,$B32,Upgrades!$E$2:$E$37,"&lt;="&amp;$D32) - SUMIFS(Upgrades!$Y$2:$Y$37,Upgrades!$A$2:$A$37,$A32,Upgrades!$B$2:$B$37,$B32,Upgrades!$E$2:$E$37,"&lt;="&amp;$D32))</f>
        <v>1.8</v>
      </c>
      <c r="G32" s="13" t="n">
        <f aca="false">E32/F32</f>
        <v>2.77777777777778</v>
      </c>
      <c r="H32" s="13" t="n">
        <f aca="false">INDEX(Türme!$L$2:$L$7,MATCH($A32,Türme!$A$2:$A$7,0)) + SUMIFS(Upgrades!$K$2:$K$37,Upgrades!$A$2:$A$37,$A32,Upgrades!$B$2:$B$37,$B32,Upgrades!$E$2:$E$37,"&lt;="&amp;$D32) + SUMIFS(Upgrades!$X$2:$X$37,Upgrades!$A$2:$A$37,$A32,Upgrades!$B$2:$B$37,$B32,Upgrades!$E$2:$E$37,"&lt;="&amp;$D32)</f>
        <v>5.5</v>
      </c>
      <c r="I32" s="13" t="n">
        <f aca="false">INDEX(Türme!$G$2:$G$7,MATCH($A32,Türme!$A$2:$A$7,0)) + SUMIFS(Upgrades!$O$2:$O$37,Upgrades!$A$2:$A$37,$A32,Upgrades!$B$2:$B$37,$B32,Upgrades!$E$2:$E$37,"&lt;="&amp;$D32) + SUMIFS(Upgrades!$U$2:$U$37,Upgrades!$A$2:$A$37,$A32,Upgrades!$B$2:$B$37,$B32,Upgrades!$E$2:$E$37,"&lt;="&amp;$D32)</f>
        <v>120</v>
      </c>
      <c r="J32" s="13" t="n">
        <f aca="false">INDEX(Türme!$I$2:$I$7,MATCH($A32,Türme!$A$2:$A$7,0)) + SUMIFS(Upgrades!$Z$2:$Z$37,Upgrades!$A$2:$A$37,$A32,Upgrades!$B$2:$B$37,$B32,Upgrades!$E$2:$E$37,"&lt;="&amp;$D32)</f>
        <v>0</v>
      </c>
      <c r="K32" s="13" t="n">
        <f aca="false">INDEX(Türme!$J$2:$J$7,MATCH($A32,Türme!$A$2:$A$7,0)) + SUMIFS(Upgrades!$AA$2:$AA$37,Upgrades!$A$2:$A$37,$A32,Upgrades!$B$2:$B$37,$B32,Upgrades!$E$2:$E$37,"&lt;="&amp;$D32)</f>
        <v>10</v>
      </c>
      <c r="L32" s="15" t="n">
        <f aca="false">MIN(1,INDEX(Türme!$R$2:$R$7,MATCH($A32,Türme!$A$2:$A$7,0)) + SUMIFS(Upgrades!$AB$2:$AB$37,Upgrades!$A$2:$A$37,$A32,Upgrades!$B$2:$B$37,$B32,Upgrades!$E$2:$E$37,"&lt;="&amp;$D32))</f>
        <v>0</v>
      </c>
      <c r="M32" s="13" t="n">
        <f aca="false">INDEX(Türme!$T$2:$T$7,MATCH($A32,Türme!$A$2:$A$7,0)) + SUMIFS(Upgrades!$AD$2:$AD$37,Upgrades!$A$2:$A$37,$A32,Upgrades!$B$2:$B$37,$B32,Upgrades!$E$2:$E$37,"&lt;="&amp;$D32)</f>
        <v>0</v>
      </c>
      <c r="N32" s="15" t="n">
        <f aca="false">MIN(1,INDEX(Türme!$U$2:$U$7,MATCH($A32,Türme!$A$2:$A$7,0)) + SUMIFS(Upgrades!$AE$2:$AE$37,Upgrades!$A$2:$A$37,$A32,Upgrades!$B$2:$B$37,$B32,Upgrades!$E$2:$E$37,"&lt;="&amp;$D32))</f>
        <v>0</v>
      </c>
      <c r="O32" s="13" t="n">
        <f aca="false">INDEX(Türme!$V$2:$V$7,MATCH($A32,Türme!$A$2:$A$7,0)) + SUMIFS(Upgrades!$AF$2:$AF$37,Upgrades!$A$2:$A$37,$A32,Upgrades!$B$2:$B$37,$B32,Upgrades!$E$2:$E$37,"&lt;="&amp;$D32)</f>
        <v>0</v>
      </c>
      <c r="P32" s="15" t="n">
        <f aca="false">MIN(1,INDEX(Türme!$W$2:$W$7,MATCH($A32,Türme!$A$2:$A$7,0)) + SUMIFS(Upgrades!$AG$2:$AG$37,Upgrades!$A$2:$A$37,$A32,Upgrades!$B$2:$B$37,$B32,Upgrades!$E$2:$E$37,"&lt;="&amp;$D32))</f>
        <v>0.15</v>
      </c>
      <c r="Q32" s="15" t="n">
        <f aca="false">MIN(1,INDEX(Türme!$X$2:$X$7,MATCH($A32,Türme!$A$2:$A$7,0)) + SUMIFS(Upgrades!$AH$2:$AH$37,Upgrades!$A$2:$A$37,$A32,Upgrades!$B$2:$B$37,$B32,Upgrades!$E$2:$E$37,"&lt;="&amp;$D32))</f>
        <v>0</v>
      </c>
    </row>
    <row r="33" customFormat="false" ht="15" hidden="false" customHeight="false" outlineLevel="0" collapsed="false">
      <c r="A33" s="12" t="s">
        <v>86</v>
      </c>
      <c r="B33" s="12" t="n">
        <v>1</v>
      </c>
      <c r="C33" s="12" t="s">
        <v>217</v>
      </c>
      <c r="D33" s="12" t="n">
        <v>2</v>
      </c>
      <c r="E33" s="13" t="n">
        <f aca="false">INDEX(Türme!$N$2:$N$7,MATCH($A33,Türme!$A$2:$A$7,0)) + SUMIFS(Upgrades!$J$2:$J$37,Upgrades!$A$2:$A$37,$A33,Upgrades!$B$2:$B$37,$B33,Upgrades!$E$2:$E$37,"&lt;="&amp;$D33) + SUMIFS(Upgrades!$W$2:$W$37,Upgrades!$A$2:$A$37,$A33,Upgrades!$B$2:$B$37,$B33,Upgrades!$E$2:$E$37,"&lt;="&amp;$D33)</f>
        <v>4</v>
      </c>
      <c r="F33" s="14" t="n">
        <f aca="false">MAX(0.1,INDEX(Türme!$O$2:$O$7,MATCH($A33,Türme!$A$2:$A$7,0)) - SUMIFS(Upgrades!$M$2:$M$37,Upgrades!$A$2:$A$37,$A33,Upgrades!$B$2:$B$37,$B33,Upgrades!$E$2:$E$37,"&lt;="&amp;$D33) - SUMIFS(Upgrades!$Y$2:$Y$37,Upgrades!$A$2:$A$37,$A33,Upgrades!$B$2:$B$37,$B33,Upgrades!$E$2:$E$37,"&lt;="&amp;$D33))</f>
        <v>1.7</v>
      </c>
      <c r="G33" s="13" t="n">
        <f aca="false">E33/F33</f>
        <v>2.35294117647059</v>
      </c>
      <c r="H33" s="13" t="n">
        <f aca="false">INDEX(Türme!$L$2:$L$7,MATCH($A33,Türme!$A$2:$A$7,0)) + SUMIFS(Upgrades!$K$2:$K$37,Upgrades!$A$2:$A$37,$A33,Upgrades!$B$2:$B$37,$B33,Upgrades!$E$2:$E$37,"&lt;="&amp;$D33) + SUMIFS(Upgrades!$X$2:$X$37,Upgrades!$A$2:$A$37,$A33,Upgrades!$B$2:$B$37,$B33,Upgrades!$E$2:$E$37,"&lt;="&amp;$D33)</f>
        <v>5.5</v>
      </c>
      <c r="I33" s="13" t="n">
        <f aca="false">INDEX(Türme!$G$2:$G$7,MATCH($A33,Türme!$A$2:$A$7,0)) + SUMIFS(Upgrades!$O$2:$O$37,Upgrades!$A$2:$A$37,$A33,Upgrades!$B$2:$B$37,$B33,Upgrades!$E$2:$E$37,"&lt;="&amp;$D33) + SUMIFS(Upgrades!$U$2:$U$37,Upgrades!$A$2:$A$37,$A33,Upgrades!$B$2:$B$37,$B33,Upgrades!$E$2:$E$37,"&lt;="&amp;$D33)</f>
        <v>100</v>
      </c>
      <c r="J33" s="13" t="n">
        <f aca="false">INDEX(Türme!$I$2:$I$7,MATCH($A33,Türme!$A$2:$A$7,0)) + SUMIFS(Upgrades!$Z$2:$Z$37,Upgrades!$A$2:$A$37,$A33,Upgrades!$B$2:$B$37,$B33,Upgrades!$E$2:$E$37,"&lt;="&amp;$D33)</f>
        <v>0</v>
      </c>
      <c r="K33" s="13" t="n">
        <f aca="false">INDEX(Türme!$J$2:$J$7,MATCH($A33,Türme!$A$2:$A$7,0)) + SUMIFS(Upgrades!$AA$2:$AA$37,Upgrades!$A$2:$A$37,$A33,Upgrades!$B$2:$B$37,$B33,Upgrades!$E$2:$E$37,"&lt;="&amp;$D33)</f>
        <v>10</v>
      </c>
      <c r="L33" s="15" t="n">
        <f aca="false">MIN(1,INDEX(Türme!$R$2:$R$7,MATCH($A33,Türme!$A$2:$A$7,0)) + SUMIFS(Upgrades!$AB$2:$AB$37,Upgrades!$A$2:$A$37,$A33,Upgrades!$B$2:$B$37,$B33,Upgrades!$E$2:$E$37,"&lt;="&amp;$D33))</f>
        <v>0.15</v>
      </c>
      <c r="M33" s="13" t="n">
        <f aca="false">INDEX(Türme!$T$2:$T$7,MATCH($A33,Türme!$A$2:$A$7,0)) + SUMIFS(Upgrades!$AD$2:$AD$37,Upgrades!$A$2:$A$37,$A33,Upgrades!$B$2:$B$37,$B33,Upgrades!$E$2:$E$37,"&lt;="&amp;$D33)</f>
        <v>0</v>
      </c>
      <c r="N33" s="15" t="n">
        <f aca="false">MIN(1,INDEX(Türme!$U$2:$U$7,MATCH($A33,Türme!$A$2:$A$7,0)) + SUMIFS(Upgrades!$AE$2:$AE$37,Upgrades!$A$2:$A$37,$A33,Upgrades!$B$2:$B$37,$B33,Upgrades!$E$2:$E$37,"&lt;="&amp;$D33))</f>
        <v>0</v>
      </c>
      <c r="O33" s="13" t="n">
        <f aca="false">INDEX(Türme!$V$2:$V$7,MATCH($A33,Türme!$A$2:$A$7,0)) + SUMIFS(Upgrades!$AF$2:$AF$37,Upgrades!$A$2:$A$37,$A33,Upgrades!$B$2:$B$37,$B33,Upgrades!$E$2:$E$37,"&lt;="&amp;$D33)</f>
        <v>12</v>
      </c>
      <c r="P33" s="15" t="n">
        <f aca="false">MIN(1,INDEX(Türme!$W$2:$W$7,MATCH($A33,Türme!$A$2:$A$7,0)) + SUMIFS(Upgrades!$AG$2:$AG$37,Upgrades!$A$2:$A$37,$A33,Upgrades!$B$2:$B$37,$B33,Upgrades!$E$2:$E$37,"&lt;="&amp;$D33))</f>
        <v>0</v>
      </c>
      <c r="Q33" s="15" t="n">
        <f aca="false">MIN(1,INDEX(Türme!$X$2:$X$7,MATCH($A33,Türme!$A$2:$A$7,0)) + SUMIFS(Upgrades!$AH$2:$AH$37,Upgrades!$A$2:$A$37,$A33,Upgrades!$B$2:$B$37,$B33,Upgrades!$E$2:$E$37,"&lt;="&amp;$D33))</f>
        <v>0</v>
      </c>
    </row>
    <row r="34" customFormat="false" ht="15" hidden="false" customHeight="false" outlineLevel="0" collapsed="false">
      <c r="A34" s="12" t="s">
        <v>86</v>
      </c>
      <c r="B34" s="12" t="n">
        <v>1</v>
      </c>
      <c r="C34" s="12" t="s">
        <v>217</v>
      </c>
      <c r="D34" s="12" t="n">
        <v>3</v>
      </c>
      <c r="E34" s="13" t="n">
        <f aca="false">INDEX(Türme!$N$2:$N$7,MATCH($A34,Türme!$A$2:$A$7,0)) + SUMIFS(Upgrades!$J$2:$J$37,Upgrades!$A$2:$A$37,$A34,Upgrades!$B$2:$B$37,$B34,Upgrades!$E$2:$E$37,"&lt;="&amp;$D34) + SUMIFS(Upgrades!$W$2:$W$37,Upgrades!$A$2:$A$37,$A34,Upgrades!$B$2:$B$37,$B34,Upgrades!$E$2:$E$37,"&lt;="&amp;$D34)</f>
        <v>6</v>
      </c>
      <c r="F34" s="14" t="n">
        <f aca="false">MAX(0.1,INDEX(Türme!$O$2:$O$7,MATCH($A34,Türme!$A$2:$A$7,0)) - SUMIFS(Upgrades!$M$2:$M$37,Upgrades!$A$2:$A$37,$A34,Upgrades!$B$2:$B$37,$B34,Upgrades!$E$2:$E$37,"&lt;="&amp;$D34) - SUMIFS(Upgrades!$Y$2:$Y$37,Upgrades!$A$2:$A$37,$A34,Upgrades!$B$2:$B$37,$B34,Upgrades!$E$2:$E$37,"&lt;="&amp;$D34))</f>
        <v>1.7</v>
      </c>
      <c r="G34" s="13" t="n">
        <f aca="false">E34/F34</f>
        <v>3.52941176470588</v>
      </c>
      <c r="H34" s="13" t="n">
        <f aca="false">INDEX(Türme!$L$2:$L$7,MATCH($A34,Türme!$A$2:$A$7,0)) + SUMIFS(Upgrades!$K$2:$K$37,Upgrades!$A$2:$A$37,$A34,Upgrades!$B$2:$B$37,$B34,Upgrades!$E$2:$E$37,"&lt;="&amp;$D34) + SUMIFS(Upgrades!$X$2:$X$37,Upgrades!$A$2:$A$37,$A34,Upgrades!$B$2:$B$37,$B34,Upgrades!$E$2:$E$37,"&lt;="&amp;$D34)</f>
        <v>5.5</v>
      </c>
      <c r="I34" s="13" t="n">
        <f aca="false">INDEX(Türme!$G$2:$G$7,MATCH($A34,Türme!$A$2:$A$7,0)) + SUMIFS(Upgrades!$O$2:$O$37,Upgrades!$A$2:$A$37,$A34,Upgrades!$B$2:$B$37,$B34,Upgrades!$E$2:$E$37,"&lt;="&amp;$D34) + SUMIFS(Upgrades!$U$2:$U$37,Upgrades!$A$2:$A$37,$A34,Upgrades!$B$2:$B$37,$B34,Upgrades!$E$2:$E$37,"&lt;="&amp;$D34)</f>
        <v>100</v>
      </c>
      <c r="J34" s="13" t="n">
        <f aca="false">INDEX(Türme!$I$2:$I$7,MATCH($A34,Türme!$A$2:$A$7,0)) + SUMIFS(Upgrades!$Z$2:$Z$37,Upgrades!$A$2:$A$37,$A34,Upgrades!$B$2:$B$37,$B34,Upgrades!$E$2:$E$37,"&lt;="&amp;$D34)</f>
        <v>0</v>
      </c>
      <c r="K34" s="13" t="n">
        <f aca="false">INDEX(Türme!$J$2:$J$7,MATCH($A34,Türme!$A$2:$A$7,0)) + SUMIFS(Upgrades!$AA$2:$AA$37,Upgrades!$A$2:$A$37,$A34,Upgrades!$B$2:$B$37,$B34,Upgrades!$E$2:$E$37,"&lt;="&amp;$D34)</f>
        <v>10</v>
      </c>
      <c r="L34" s="15" t="n">
        <f aca="false">MIN(1,INDEX(Türme!$R$2:$R$7,MATCH($A34,Türme!$A$2:$A$7,0)) + SUMIFS(Upgrades!$AB$2:$AB$37,Upgrades!$A$2:$A$37,$A34,Upgrades!$B$2:$B$37,$B34,Upgrades!$E$2:$E$37,"&lt;="&amp;$D34))</f>
        <v>0.25</v>
      </c>
      <c r="M34" s="13" t="n">
        <f aca="false">INDEX(Türme!$T$2:$T$7,MATCH($A34,Türme!$A$2:$A$7,0)) + SUMIFS(Upgrades!$AD$2:$AD$37,Upgrades!$A$2:$A$37,$A34,Upgrades!$B$2:$B$37,$B34,Upgrades!$E$2:$E$37,"&lt;="&amp;$D34)</f>
        <v>0</v>
      </c>
      <c r="N34" s="15" t="n">
        <f aca="false">MIN(1,INDEX(Türme!$U$2:$U$7,MATCH($A34,Türme!$A$2:$A$7,0)) + SUMIFS(Upgrades!$AE$2:$AE$37,Upgrades!$A$2:$A$37,$A34,Upgrades!$B$2:$B$37,$B34,Upgrades!$E$2:$E$37,"&lt;="&amp;$D34))</f>
        <v>0</v>
      </c>
      <c r="O34" s="13" t="n">
        <f aca="false">INDEX(Türme!$V$2:$V$7,MATCH($A34,Türme!$A$2:$A$7,0)) + SUMIFS(Upgrades!$AF$2:$AF$37,Upgrades!$A$2:$A$37,$A34,Upgrades!$B$2:$B$37,$B34,Upgrades!$E$2:$E$37,"&lt;="&amp;$D34)</f>
        <v>22</v>
      </c>
      <c r="P34" s="15" t="n">
        <f aca="false">MIN(1,INDEX(Türme!$W$2:$W$7,MATCH($A34,Türme!$A$2:$A$7,0)) + SUMIFS(Upgrades!$AG$2:$AG$37,Upgrades!$A$2:$A$37,$A34,Upgrades!$B$2:$B$37,$B34,Upgrades!$E$2:$E$37,"&lt;="&amp;$D34))</f>
        <v>0</v>
      </c>
      <c r="Q34" s="15" t="n">
        <f aca="false">MIN(1,INDEX(Türme!$X$2:$X$7,MATCH($A34,Türme!$A$2:$A$7,0)) + SUMIFS(Upgrades!$AH$2:$AH$37,Upgrades!$A$2:$A$37,$A34,Upgrades!$B$2:$B$37,$B34,Upgrades!$E$2:$E$37,"&lt;="&amp;$D34))</f>
        <v>0</v>
      </c>
    </row>
    <row r="35" customFormat="false" ht="15" hidden="false" customHeight="false" outlineLevel="0" collapsed="false">
      <c r="A35" s="12" t="s">
        <v>86</v>
      </c>
      <c r="B35" s="12" t="n">
        <v>2</v>
      </c>
      <c r="C35" s="12" t="s">
        <v>224</v>
      </c>
      <c r="D35" s="12" t="n">
        <v>2</v>
      </c>
      <c r="E35" s="13" t="n">
        <f aca="false">INDEX(Türme!$N$2:$N$7,MATCH($A35,Türme!$A$2:$A$7,0)) + SUMIFS(Upgrades!$J$2:$J$37,Upgrades!$A$2:$A$37,$A35,Upgrades!$B$2:$B$37,$B35,Upgrades!$E$2:$E$37,"&lt;="&amp;$D35) + SUMIFS(Upgrades!$W$2:$W$37,Upgrades!$A$2:$A$37,$A35,Upgrades!$B$2:$B$37,$B35,Upgrades!$E$2:$E$37,"&lt;="&amp;$D35)</f>
        <v>4</v>
      </c>
      <c r="F35" s="14" t="n">
        <f aca="false">MAX(0.1,INDEX(Türme!$O$2:$O$7,MATCH($A35,Türme!$A$2:$A$7,0)) - SUMIFS(Upgrades!$M$2:$M$37,Upgrades!$A$2:$A$37,$A35,Upgrades!$B$2:$B$37,$B35,Upgrades!$E$2:$E$37,"&lt;="&amp;$D35) - SUMIFS(Upgrades!$Y$2:$Y$37,Upgrades!$A$2:$A$37,$A35,Upgrades!$B$2:$B$37,$B35,Upgrades!$E$2:$E$37,"&lt;="&amp;$D35))</f>
        <v>1.8</v>
      </c>
      <c r="G35" s="13" t="n">
        <f aca="false">E35/F35</f>
        <v>2.22222222222222</v>
      </c>
      <c r="H35" s="13" t="n">
        <f aca="false">INDEX(Türme!$L$2:$L$7,MATCH($A35,Türme!$A$2:$A$7,0)) + SUMIFS(Upgrades!$K$2:$K$37,Upgrades!$A$2:$A$37,$A35,Upgrades!$B$2:$B$37,$B35,Upgrades!$E$2:$E$37,"&lt;="&amp;$D35) + SUMIFS(Upgrades!$X$2:$X$37,Upgrades!$A$2:$A$37,$A35,Upgrades!$B$2:$B$37,$B35,Upgrades!$E$2:$E$37,"&lt;="&amp;$D35)</f>
        <v>5.5</v>
      </c>
      <c r="I35" s="13" t="n">
        <f aca="false">INDEX(Türme!$G$2:$G$7,MATCH($A35,Türme!$A$2:$A$7,0)) + SUMIFS(Upgrades!$O$2:$O$37,Upgrades!$A$2:$A$37,$A35,Upgrades!$B$2:$B$37,$B35,Upgrades!$E$2:$E$37,"&lt;="&amp;$D35) + SUMIFS(Upgrades!$U$2:$U$37,Upgrades!$A$2:$A$37,$A35,Upgrades!$B$2:$B$37,$B35,Upgrades!$E$2:$E$37,"&lt;="&amp;$D35)</f>
        <v>300</v>
      </c>
      <c r="J35" s="13" t="n">
        <f aca="false">INDEX(Türme!$I$2:$I$7,MATCH($A35,Türme!$A$2:$A$7,0)) + SUMIFS(Upgrades!$Z$2:$Z$37,Upgrades!$A$2:$A$37,$A35,Upgrades!$B$2:$B$37,$B35,Upgrades!$E$2:$E$37,"&lt;="&amp;$D35)</f>
        <v>10</v>
      </c>
      <c r="K35" s="13" t="n">
        <f aca="false">INDEX(Türme!$J$2:$J$7,MATCH($A35,Türme!$A$2:$A$7,0)) + SUMIFS(Upgrades!$AA$2:$AA$37,Upgrades!$A$2:$A$37,$A35,Upgrades!$B$2:$B$37,$B35,Upgrades!$E$2:$E$37,"&lt;="&amp;$D35)</f>
        <v>40</v>
      </c>
      <c r="L35" s="15" t="n">
        <f aca="false">MIN(1,INDEX(Türme!$R$2:$R$7,MATCH($A35,Türme!$A$2:$A$7,0)) + SUMIFS(Upgrades!$AB$2:$AB$37,Upgrades!$A$2:$A$37,$A35,Upgrades!$B$2:$B$37,$B35,Upgrades!$E$2:$E$37,"&lt;="&amp;$D35))</f>
        <v>0</v>
      </c>
      <c r="M35" s="13" t="n">
        <f aca="false">INDEX(Türme!$T$2:$T$7,MATCH($A35,Türme!$A$2:$A$7,0)) + SUMIFS(Upgrades!$AD$2:$AD$37,Upgrades!$A$2:$A$37,$A35,Upgrades!$B$2:$B$37,$B35,Upgrades!$E$2:$E$37,"&lt;="&amp;$D35)</f>
        <v>0</v>
      </c>
      <c r="N35" s="15" t="n">
        <f aca="false">MIN(1,INDEX(Türme!$U$2:$U$7,MATCH($A35,Türme!$A$2:$A$7,0)) + SUMIFS(Upgrades!$AE$2:$AE$37,Upgrades!$A$2:$A$37,$A35,Upgrades!$B$2:$B$37,$B35,Upgrades!$E$2:$E$37,"&lt;="&amp;$D35))</f>
        <v>0</v>
      </c>
      <c r="O35" s="13" t="n">
        <f aca="false">INDEX(Türme!$V$2:$V$7,MATCH($A35,Türme!$A$2:$A$7,0)) + SUMIFS(Upgrades!$AF$2:$AF$37,Upgrades!$A$2:$A$37,$A35,Upgrades!$B$2:$B$37,$B35,Upgrades!$E$2:$E$37,"&lt;="&amp;$D35)</f>
        <v>0</v>
      </c>
      <c r="P35" s="15" t="n">
        <f aca="false">MIN(1,INDEX(Türme!$W$2:$W$7,MATCH($A35,Türme!$A$2:$A$7,0)) + SUMIFS(Upgrades!$AG$2:$AG$37,Upgrades!$A$2:$A$37,$A35,Upgrades!$B$2:$B$37,$B35,Upgrades!$E$2:$E$37,"&lt;="&amp;$D35))</f>
        <v>0</v>
      </c>
      <c r="Q35" s="15" t="n">
        <f aca="false">MIN(1,INDEX(Türme!$X$2:$X$7,MATCH($A35,Türme!$A$2:$A$7,0)) + SUMIFS(Upgrades!$AH$2:$AH$37,Upgrades!$A$2:$A$37,$A35,Upgrades!$B$2:$B$37,$B35,Upgrades!$E$2:$E$37,"&lt;="&amp;$D35))</f>
        <v>0</v>
      </c>
    </row>
    <row r="36" customFormat="false" ht="15" hidden="false" customHeight="false" outlineLevel="0" collapsed="false">
      <c r="A36" s="12" t="s">
        <v>86</v>
      </c>
      <c r="B36" s="12" t="n">
        <v>2</v>
      </c>
      <c r="C36" s="12" t="s">
        <v>224</v>
      </c>
      <c r="D36" s="12" t="n">
        <v>3</v>
      </c>
      <c r="E36" s="13" t="n">
        <f aca="false">INDEX(Türme!$N$2:$N$7,MATCH($A36,Türme!$A$2:$A$7,0)) + SUMIFS(Upgrades!$J$2:$J$37,Upgrades!$A$2:$A$37,$A36,Upgrades!$B$2:$B$37,$B36,Upgrades!$E$2:$E$37,"&lt;="&amp;$D36) + SUMIFS(Upgrades!$W$2:$W$37,Upgrades!$A$2:$A$37,$A36,Upgrades!$B$2:$B$37,$B36,Upgrades!$E$2:$E$37,"&lt;="&amp;$D36)</f>
        <v>4</v>
      </c>
      <c r="F36" s="14" t="n">
        <f aca="false">MAX(0.1,INDEX(Türme!$O$2:$O$7,MATCH($A36,Türme!$A$2:$A$7,0)) - SUMIFS(Upgrades!$M$2:$M$37,Upgrades!$A$2:$A$37,$A36,Upgrades!$B$2:$B$37,$B36,Upgrades!$E$2:$E$37,"&lt;="&amp;$D36) - SUMIFS(Upgrades!$Y$2:$Y$37,Upgrades!$A$2:$A$37,$A36,Upgrades!$B$2:$B$37,$B36,Upgrades!$E$2:$E$37,"&lt;="&amp;$D36))</f>
        <v>1.8</v>
      </c>
      <c r="G36" s="13" t="n">
        <f aca="false">E36/F36</f>
        <v>2.22222222222222</v>
      </c>
      <c r="H36" s="13" t="n">
        <f aca="false">INDEX(Türme!$L$2:$L$7,MATCH($A36,Türme!$A$2:$A$7,0)) + SUMIFS(Upgrades!$K$2:$K$37,Upgrades!$A$2:$A$37,$A36,Upgrades!$B$2:$B$37,$B36,Upgrades!$E$2:$E$37,"&lt;="&amp;$D36) + SUMIFS(Upgrades!$X$2:$X$37,Upgrades!$A$2:$A$37,$A36,Upgrades!$B$2:$B$37,$B36,Upgrades!$E$2:$E$37,"&lt;="&amp;$D36)</f>
        <v>5.5</v>
      </c>
      <c r="I36" s="13" t="n">
        <f aca="false">INDEX(Türme!$G$2:$G$7,MATCH($A36,Türme!$A$2:$A$7,0)) + SUMIFS(Upgrades!$O$2:$O$37,Upgrades!$A$2:$A$37,$A36,Upgrades!$B$2:$B$37,$B36,Upgrades!$E$2:$E$37,"&lt;="&amp;$D36) + SUMIFS(Upgrades!$U$2:$U$37,Upgrades!$A$2:$A$37,$A36,Upgrades!$B$2:$B$37,$B36,Upgrades!$E$2:$E$37,"&lt;="&amp;$D36)</f>
        <v>550</v>
      </c>
      <c r="J36" s="13" t="n">
        <f aca="false">INDEX(Türme!$I$2:$I$7,MATCH($A36,Türme!$A$2:$A$7,0)) + SUMIFS(Upgrades!$Z$2:$Z$37,Upgrades!$A$2:$A$37,$A36,Upgrades!$B$2:$B$37,$B36,Upgrades!$E$2:$E$37,"&lt;="&amp;$D36)</f>
        <v>10</v>
      </c>
      <c r="K36" s="13" t="n">
        <f aca="false">INDEX(Türme!$J$2:$J$7,MATCH($A36,Türme!$A$2:$A$7,0)) + SUMIFS(Upgrades!$AA$2:$AA$37,Upgrades!$A$2:$A$37,$A36,Upgrades!$B$2:$B$37,$B36,Upgrades!$E$2:$E$37,"&lt;="&amp;$D36)</f>
        <v>70</v>
      </c>
      <c r="L36" s="15" t="n">
        <f aca="false">MIN(1,INDEX(Türme!$R$2:$R$7,MATCH($A36,Türme!$A$2:$A$7,0)) + SUMIFS(Upgrades!$AB$2:$AB$37,Upgrades!$A$2:$A$37,$A36,Upgrades!$B$2:$B$37,$B36,Upgrades!$E$2:$E$37,"&lt;="&amp;$D36))</f>
        <v>0</v>
      </c>
      <c r="M36" s="13" t="n">
        <f aca="false">INDEX(Türme!$T$2:$T$7,MATCH($A36,Türme!$A$2:$A$7,0)) + SUMIFS(Upgrades!$AD$2:$AD$37,Upgrades!$A$2:$A$37,$A36,Upgrades!$B$2:$B$37,$B36,Upgrades!$E$2:$E$37,"&lt;="&amp;$D36)</f>
        <v>0</v>
      </c>
      <c r="N36" s="15" t="n">
        <f aca="false">MIN(1,INDEX(Türme!$U$2:$U$7,MATCH($A36,Türme!$A$2:$A$7,0)) + SUMIFS(Upgrades!$AE$2:$AE$37,Upgrades!$A$2:$A$37,$A36,Upgrades!$B$2:$B$37,$B36,Upgrades!$E$2:$E$37,"&lt;="&amp;$D36))</f>
        <v>0</v>
      </c>
      <c r="O36" s="13" t="n">
        <f aca="false">INDEX(Türme!$V$2:$V$7,MATCH($A36,Türme!$A$2:$A$7,0)) + SUMIFS(Upgrades!$AF$2:$AF$37,Upgrades!$A$2:$A$37,$A36,Upgrades!$B$2:$B$37,$B36,Upgrades!$E$2:$E$37,"&lt;="&amp;$D36)</f>
        <v>0</v>
      </c>
      <c r="P36" s="15" t="n">
        <f aca="false">MIN(1,INDEX(Türme!$W$2:$W$7,MATCH($A36,Türme!$A$2:$A$7,0)) + SUMIFS(Upgrades!$AG$2:$AG$37,Upgrades!$A$2:$A$37,$A36,Upgrades!$B$2:$B$37,$B36,Upgrades!$E$2:$E$37,"&lt;="&amp;$D36))</f>
        <v>0</v>
      </c>
      <c r="Q36" s="15" t="n">
        <f aca="false">MIN(1,INDEX(Türme!$X$2:$X$7,MATCH($A36,Türme!$A$2:$A$7,0)) + SUMIFS(Upgrades!$AH$2:$AH$37,Upgrades!$A$2:$A$37,$A36,Upgrades!$B$2:$B$37,$B36,Upgrades!$E$2:$E$37,"&lt;="&amp;$D36))</f>
        <v>0.06</v>
      </c>
    </row>
    <row r="37" customFormat="false" ht="15" hidden="false" customHeight="false" outlineLevel="0" collapsed="false">
      <c r="A37" s="8" t="s">
        <v>89</v>
      </c>
      <c r="B37" s="8"/>
      <c r="C37" s="8" t="s">
        <v>328</v>
      </c>
      <c r="D37" s="8" t="n">
        <v>1</v>
      </c>
      <c r="E37" s="9" t="n">
        <f aca="false">INDEX(Türme!$N$2:$N$7,MATCH($A37,Türme!$A$2:$A$7,0))</f>
        <v>14</v>
      </c>
      <c r="F37" s="10" t="n">
        <f aca="false">MAX(0.1,INDEX(Türme!$O$2:$O$7,MATCH($A37,Türme!$A$2:$A$7,0)))</f>
        <v>5</v>
      </c>
      <c r="G37" s="9" t="n">
        <f aca="false">E37/F37</f>
        <v>2.8</v>
      </c>
      <c r="H37" s="9" t="n">
        <f aca="false">INDEX(Türme!$L$2:$L$7,MATCH($A37,Türme!$A$2:$A$7,0))</f>
        <v>6.5</v>
      </c>
      <c r="I37" s="9" t="n">
        <f aca="false">INDEX(Türme!$G$2:$G$7,MATCH($A37,Türme!$A$2:$A$7,0))</f>
        <v>100</v>
      </c>
      <c r="J37" s="9" t="n">
        <f aca="false">INDEX(Türme!$I$2:$I$7,MATCH($A37,Türme!$A$2:$A$7,0))</f>
        <v>0</v>
      </c>
      <c r="K37" s="9" t="n">
        <f aca="false">INDEX(Türme!$J$2:$J$7,MATCH($A37,Türme!$A$2:$A$7,0))</f>
        <v>10</v>
      </c>
      <c r="L37" s="11" t="n">
        <f aca="false">MIN(1,INDEX(Türme!$R$2:$R$7,MATCH($A37,Türme!$A$2:$A$7,0)))</f>
        <v>0</v>
      </c>
      <c r="M37" s="9" t="n">
        <f aca="false">INDEX(Türme!$T$2:$T$7,MATCH($A37,Türme!$A$2:$A$7,0))</f>
        <v>0</v>
      </c>
      <c r="N37" s="11" t="n">
        <f aca="false">MIN(1,INDEX(Türme!$U$2:$U$7,MATCH($A37,Türme!$A$2:$A$7,0)))</f>
        <v>0</v>
      </c>
      <c r="O37" s="9" t="n">
        <f aca="false">INDEX(Türme!$V$2:$V$7,MATCH($A37,Türme!$A$2:$A$7,0))</f>
        <v>0</v>
      </c>
      <c r="P37" s="11" t="n">
        <f aca="false">MIN(1,INDEX(Türme!$W$2:$W$7,MATCH($A37,Türme!$A$2:$A$7,0)))</f>
        <v>0</v>
      </c>
      <c r="Q37" s="11" t="n">
        <f aca="false">MIN(1,INDEX(Türme!$X$2:$X$7,MATCH($A37,Türme!$A$2:$A$7,0)))</f>
        <v>0</v>
      </c>
    </row>
    <row r="38" customFormat="false" ht="15" hidden="false" customHeight="false" outlineLevel="0" collapsed="false">
      <c r="A38" s="12" t="s">
        <v>89</v>
      </c>
      <c r="B38" s="12" t="n">
        <v>0</v>
      </c>
      <c r="C38" s="12" t="s">
        <v>231</v>
      </c>
      <c r="D38" s="12" t="n">
        <v>2</v>
      </c>
      <c r="E38" s="13" t="n">
        <f aca="false">INDEX(Türme!$N$2:$N$7,MATCH($A38,Türme!$A$2:$A$7,0)) + SUMIFS(Upgrades!$J$2:$J$37,Upgrades!$A$2:$A$37,$A38,Upgrades!$B$2:$B$37,$B38,Upgrades!$E$2:$E$37,"&lt;="&amp;$D38) + SUMIFS(Upgrades!$W$2:$W$37,Upgrades!$A$2:$A$37,$A38,Upgrades!$B$2:$B$37,$B38,Upgrades!$E$2:$E$37,"&lt;="&amp;$D38)</f>
        <v>18</v>
      </c>
      <c r="F38" s="14" t="n">
        <f aca="false">MAX(0.1,INDEX(Türme!$O$2:$O$7,MATCH($A38,Türme!$A$2:$A$7,0)) - SUMIFS(Upgrades!$M$2:$M$37,Upgrades!$A$2:$A$37,$A38,Upgrades!$B$2:$B$37,$B38,Upgrades!$E$2:$E$37,"&lt;="&amp;$D38) - SUMIFS(Upgrades!$Y$2:$Y$37,Upgrades!$A$2:$A$37,$A38,Upgrades!$B$2:$B$37,$B38,Upgrades!$E$2:$E$37,"&lt;="&amp;$D38))</f>
        <v>5</v>
      </c>
      <c r="G38" s="13" t="n">
        <f aca="false">E38/F38</f>
        <v>3.6</v>
      </c>
      <c r="H38" s="13" t="n">
        <f aca="false">INDEX(Türme!$L$2:$L$7,MATCH($A38,Türme!$A$2:$A$7,0)) + SUMIFS(Upgrades!$K$2:$K$37,Upgrades!$A$2:$A$37,$A38,Upgrades!$B$2:$B$37,$B38,Upgrades!$E$2:$E$37,"&lt;="&amp;$D38) + SUMIFS(Upgrades!$X$2:$X$37,Upgrades!$A$2:$A$37,$A38,Upgrades!$B$2:$B$37,$B38,Upgrades!$E$2:$E$37,"&lt;="&amp;$D38)</f>
        <v>6.5</v>
      </c>
      <c r="I38" s="13" t="n">
        <f aca="false">INDEX(Türme!$G$2:$G$7,MATCH($A38,Türme!$A$2:$A$7,0)) + SUMIFS(Upgrades!$O$2:$O$37,Upgrades!$A$2:$A$37,$A38,Upgrades!$B$2:$B$37,$B38,Upgrades!$E$2:$E$37,"&lt;="&amp;$D38) + SUMIFS(Upgrades!$U$2:$U$37,Upgrades!$A$2:$A$37,$A38,Upgrades!$B$2:$B$37,$B38,Upgrades!$E$2:$E$37,"&lt;="&amp;$D38)</f>
        <v>100</v>
      </c>
      <c r="J38" s="13" t="n">
        <f aca="false">INDEX(Türme!$I$2:$I$7,MATCH($A38,Türme!$A$2:$A$7,0)) + SUMIFS(Upgrades!$Z$2:$Z$37,Upgrades!$A$2:$A$37,$A38,Upgrades!$B$2:$B$37,$B38,Upgrades!$E$2:$E$37,"&lt;="&amp;$D38)</f>
        <v>0</v>
      </c>
      <c r="K38" s="13" t="n">
        <f aca="false">INDEX(Türme!$J$2:$J$7,MATCH($A38,Türme!$A$2:$A$7,0)) + SUMIFS(Upgrades!$AA$2:$AA$37,Upgrades!$A$2:$A$37,$A38,Upgrades!$B$2:$B$37,$B38,Upgrades!$E$2:$E$37,"&lt;="&amp;$D38)</f>
        <v>10</v>
      </c>
      <c r="L38" s="15" t="n">
        <f aca="false">MIN(1,INDEX(Türme!$R$2:$R$7,MATCH($A38,Türme!$A$2:$A$7,0)) + SUMIFS(Upgrades!$AB$2:$AB$37,Upgrades!$A$2:$A$37,$A38,Upgrades!$B$2:$B$37,$B38,Upgrades!$E$2:$E$37,"&lt;="&amp;$D38))</f>
        <v>0</v>
      </c>
      <c r="M38" s="13" t="n">
        <f aca="false">INDEX(Türme!$T$2:$T$7,MATCH($A38,Türme!$A$2:$A$7,0)) + SUMIFS(Upgrades!$AD$2:$AD$37,Upgrades!$A$2:$A$37,$A38,Upgrades!$B$2:$B$37,$B38,Upgrades!$E$2:$E$37,"&lt;="&amp;$D38)</f>
        <v>0</v>
      </c>
      <c r="N38" s="15" t="n">
        <f aca="false">MIN(1,INDEX(Türme!$U$2:$U$7,MATCH($A38,Türme!$A$2:$A$7,0)) + SUMIFS(Upgrades!$AE$2:$AE$37,Upgrades!$A$2:$A$37,$A38,Upgrades!$B$2:$B$37,$B38,Upgrades!$E$2:$E$37,"&lt;="&amp;$D38))</f>
        <v>0</v>
      </c>
      <c r="O38" s="13" t="n">
        <f aca="false">INDEX(Türme!$V$2:$V$7,MATCH($A38,Türme!$A$2:$A$7,0)) + SUMIFS(Upgrades!$AF$2:$AF$37,Upgrades!$A$2:$A$37,$A38,Upgrades!$B$2:$B$37,$B38,Upgrades!$E$2:$E$37,"&lt;="&amp;$D38)</f>
        <v>0</v>
      </c>
      <c r="P38" s="15" t="n">
        <f aca="false">MIN(1,INDEX(Türme!$W$2:$W$7,MATCH($A38,Türme!$A$2:$A$7,0)) + SUMIFS(Upgrades!$AG$2:$AG$37,Upgrades!$A$2:$A$37,$A38,Upgrades!$B$2:$B$37,$B38,Upgrades!$E$2:$E$37,"&lt;="&amp;$D38))</f>
        <v>0</v>
      </c>
      <c r="Q38" s="15" t="n">
        <f aca="false">MIN(1,INDEX(Türme!$X$2:$X$7,MATCH($A38,Türme!$A$2:$A$7,0)) + SUMIFS(Upgrades!$AH$2:$AH$37,Upgrades!$A$2:$A$37,$A38,Upgrades!$B$2:$B$37,$B38,Upgrades!$E$2:$E$37,"&lt;="&amp;$D38))</f>
        <v>0</v>
      </c>
    </row>
    <row r="39" customFormat="false" ht="15" hidden="false" customHeight="false" outlineLevel="0" collapsed="false">
      <c r="A39" s="12" t="s">
        <v>89</v>
      </c>
      <c r="B39" s="12" t="n">
        <v>0</v>
      </c>
      <c r="C39" s="12" t="s">
        <v>231</v>
      </c>
      <c r="D39" s="12" t="n">
        <v>3</v>
      </c>
      <c r="E39" s="13" t="n">
        <f aca="false">INDEX(Türme!$N$2:$N$7,MATCH($A39,Türme!$A$2:$A$7,0)) + SUMIFS(Upgrades!$J$2:$J$37,Upgrades!$A$2:$A$37,$A39,Upgrades!$B$2:$B$37,$B39,Upgrades!$E$2:$E$37,"&lt;="&amp;$D39) + SUMIFS(Upgrades!$W$2:$W$37,Upgrades!$A$2:$A$37,$A39,Upgrades!$B$2:$B$37,$B39,Upgrades!$E$2:$E$37,"&lt;="&amp;$D39)</f>
        <v>26</v>
      </c>
      <c r="F39" s="14" t="n">
        <f aca="false">MAX(0.1,INDEX(Türme!$O$2:$O$7,MATCH($A39,Türme!$A$2:$A$7,0)) - SUMIFS(Upgrades!$M$2:$M$37,Upgrades!$A$2:$A$37,$A39,Upgrades!$B$2:$B$37,$B39,Upgrades!$E$2:$E$37,"&lt;="&amp;$D39) - SUMIFS(Upgrades!$Y$2:$Y$37,Upgrades!$A$2:$A$37,$A39,Upgrades!$B$2:$B$37,$B39,Upgrades!$E$2:$E$37,"&lt;="&amp;$D39))</f>
        <v>5</v>
      </c>
      <c r="G39" s="13" t="n">
        <f aca="false">E39/F39</f>
        <v>5.2</v>
      </c>
      <c r="H39" s="13" t="n">
        <f aca="false">INDEX(Türme!$L$2:$L$7,MATCH($A39,Türme!$A$2:$A$7,0)) + SUMIFS(Upgrades!$K$2:$K$37,Upgrades!$A$2:$A$37,$A39,Upgrades!$B$2:$B$37,$B39,Upgrades!$E$2:$E$37,"&lt;="&amp;$D39) + SUMIFS(Upgrades!$X$2:$X$37,Upgrades!$A$2:$A$37,$A39,Upgrades!$B$2:$B$37,$B39,Upgrades!$E$2:$E$37,"&lt;="&amp;$D39)</f>
        <v>6.5</v>
      </c>
      <c r="I39" s="13" t="n">
        <f aca="false">INDEX(Türme!$G$2:$G$7,MATCH($A39,Türme!$A$2:$A$7,0)) + SUMIFS(Upgrades!$O$2:$O$37,Upgrades!$A$2:$A$37,$A39,Upgrades!$B$2:$B$37,$B39,Upgrades!$E$2:$E$37,"&lt;="&amp;$D39) + SUMIFS(Upgrades!$U$2:$U$37,Upgrades!$A$2:$A$37,$A39,Upgrades!$B$2:$B$37,$B39,Upgrades!$E$2:$E$37,"&lt;="&amp;$D39)</f>
        <v>100</v>
      </c>
      <c r="J39" s="13" t="n">
        <f aca="false">INDEX(Türme!$I$2:$I$7,MATCH($A39,Türme!$A$2:$A$7,0)) + SUMIFS(Upgrades!$Z$2:$Z$37,Upgrades!$A$2:$A$37,$A39,Upgrades!$B$2:$B$37,$B39,Upgrades!$E$2:$E$37,"&lt;="&amp;$D39)</f>
        <v>0</v>
      </c>
      <c r="K39" s="13" t="n">
        <f aca="false">INDEX(Türme!$J$2:$J$7,MATCH($A39,Türme!$A$2:$A$7,0)) + SUMIFS(Upgrades!$AA$2:$AA$37,Upgrades!$A$2:$A$37,$A39,Upgrades!$B$2:$B$37,$B39,Upgrades!$E$2:$E$37,"&lt;="&amp;$D39)</f>
        <v>10</v>
      </c>
      <c r="L39" s="15" t="n">
        <f aca="false">MIN(1,INDEX(Türme!$R$2:$R$7,MATCH($A39,Türme!$A$2:$A$7,0)) + SUMIFS(Upgrades!$AB$2:$AB$37,Upgrades!$A$2:$A$37,$A39,Upgrades!$B$2:$B$37,$B39,Upgrades!$E$2:$E$37,"&lt;="&amp;$D39))</f>
        <v>0</v>
      </c>
      <c r="M39" s="13" t="n">
        <f aca="false">INDEX(Türme!$T$2:$T$7,MATCH($A39,Türme!$A$2:$A$7,0)) + SUMIFS(Upgrades!$AD$2:$AD$37,Upgrades!$A$2:$A$37,$A39,Upgrades!$B$2:$B$37,$B39,Upgrades!$E$2:$E$37,"&lt;="&amp;$D39)</f>
        <v>0</v>
      </c>
      <c r="N39" s="15" t="n">
        <f aca="false">MIN(1,INDEX(Türme!$U$2:$U$7,MATCH($A39,Türme!$A$2:$A$7,0)) + SUMIFS(Upgrades!$AE$2:$AE$37,Upgrades!$A$2:$A$37,$A39,Upgrades!$B$2:$B$37,$B39,Upgrades!$E$2:$E$37,"&lt;="&amp;$D39))</f>
        <v>0</v>
      </c>
      <c r="O39" s="13" t="n">
        <f aca="false">INDEX(Türme!$V$2:$V$7,MATCH($A39,Türme!$A$2:$A$7,0)) + SUMIFS(Upgrades!$AF$2:$AF$37,Upgrades!$A$2:$A$37,$A39,Upgrades!$B$2:$B$37,$B39,Upgrades!$E$2:$E$37,"&lt;="&amp;$D39)</f>
        <v>5</v>
      </c>
      <c r="P39" s="15" t="n">
        <f aca="false">MIN(1,INDEX(Türme!$W$2:$W$7,MATCH($A39,Türme!$A$2:$A$7,0)) + SUMIFS(Upgrades!$AG$2:$AG$37,Upgrades!$A$2:$A$37,$A39,Upgrades!$B$2:$B$37,$B39,Upgrades!$E$2:$E$37,"&lt;="&amp;$D39))</f>
        <v>0.2</v>
      </c>
      <c r="Q39" s="15" t="n">
        <f aca="false">MIN(1,INDEX(Türme!$X$2:$X$7,MATCH($A39,Türme!$A$2:$A$7,0)) + SUMIFS(Upgrades!$AH$2:$AH$37,Upgrades!$A$2:$A$37,$A39,Upgrades!$B$2:$B$37,$B39,Upgrades!$E$2:$E$37,"&lt;="&amp;$D39))</f>
        <v>0</v>
      </c>
    </row>
    <row r="40" customFormat="false" ht="15" hidden="false" customHeight="false" outlineLevel="0" collapsed="false">
      <c r="A40" s="12" t="s">
        <v>89</v>
      </c>
      <c r="B40" s="12" t="n">
        <v>1</v>
      </c>
      <c r="C40" s="12" t="s">
        <v>238</v>
      </c>
      <c r="D40" s="12" t="n">
        <v>2</v>
      </c>
      <c r="E40" s="13" t="n">
        <f aca="false">INDEX(Türme!$N$2:$N$7,MATCH($A40,Türme!$A$2:$A$7,0)) + SUMIFS(Upgrades!$J$2:$J$37,Upgrades!$A$2:$A$37,$A40,Upgrades!$B$2:$B$37,$B40,Upgrades!$E$2:$E$37,"&lt;="&amp;$D40) + SUMIFS(Upgrades!$W$2:$W$37,Upgrades!$A$2:$A$37,$A40,Upgrades!$B$2:$B$37,$B40,Upgrades!$E$2:$E$37,"&lt;="&amp;$D40)</f>
        <v>14</v>
      </c>
      <c r="F40" s="14" t="n">
        <f aca="false">MAX(0.1,INDEX(Türme!$O$2:$O$7,MATCH($A40,Türme!$A$2:$A$7,0)) - SUMIFS(Upgrades!$M$2:$M$37,Upgrades!$A$2:$A$37,$A40,Upgrades!$B$2:$B$37,$B40,Upgrades!$E$2:$E$37,"&lt;="&amp;$D40) - SUMIFS(Upgrades!$Y$2:$Y$37,Upgrades!$A$2:$A$37,$A40,Upgrades!$B$2:$B$37,$B40,Upgrades!$E$2:$E$37,"&lt;="&amp;$D40))</f>
        <v>5</v>
      </c>
      <c r="G40" s="13" t="n">
        <f aca="false">E40/F40</f>
        <v>2.8</v>
      </c>
      <c r="H40" s="13" t="n">
        <f aca="false">INDEX(Türme!$L$2:$L$7,MATCH($A40,Türme!$A$2:$A$7,0)) + SUMIFS(Upgrades!$K$2:$K$37,Upgrades!$A$2:$A$37,$A40,Upgrades!$B$2:$B$37,$B40,Upgrades!$E$2:$E$37,"&lt;="&amp;$D40) + SUMIFS(Upgrades!$X$2:$X$37,Upgrades!$A$2:$A$37,$A40,Upgrades!$B$2:$B$37,$B40,Upgrades!$E$2:$E$37,"&lt;="&amp;$D40)</f>
        <v>6.5</v>
      </c>
      <c r="I40" s="13" t="n">
        <f aca="false">INDEX(Türme!$G$2:$G$7,MATCH($A40,Türme!$A$2:$A$7,0)) + SUMIFS(Upgrades!$O$2:$O$37,Upgrades!$A$2:$A$37,$A40,Upgrades!$B$2:$B$37,$B40,Upgrades!$E$2:$E$37,"&lt;="&amp;$D40) + SUMIFS(Upgrades!$U$2:$U$37,Upgrades!$A$2:$A$37,$A40,Upgrades!$B$2:$B$37,$B40,Upgrades!$E$2:$E$37,"&lt;="&amp;$D40)</f>
        <v>130</v>
      </c>
      <c r="J40" s="13" t="n">
        <f aca="false">INDEX(Türme!$I$2:$I$7,MATCH($A40,Türme!$A$2:$A$7,0)) + SUMIFS(Upgrades!$Z$2:$Z$37,Upgrades!$A$2:$A$37,$A40,Upgrades!$B$2:$B$37,$B40,Upgrades!$E$2:$E$37,"&lt;="&amp;$D40)</f>
        <v>0</v>
      </c>
      <c r="K40" s="13" t="n">
        <f aca="false">INDEX(Türme!$J$2:$J$7,MATCH($A40,Türme!$A$2:$A$7,0)) + SUMIFS(Upgrades!$AA$2:$AA$37,Upgrades!$A$2:$A$37,$A40,Upgrades!$B$2:$B$37,$B40,Upgrades!$E$2:$E$37,"&lt;="&amp;$D40)</f>
        <v>10</v>
      </c>
      <c r="L40" s="15" t="n">
        <f aca="false">MIN(1,INDEX(Türme!$R$2:$R$7,MATCH($A40,Türme!$A$2:$A$7,0)) + SUMIFS(Upgrades!$AB$2:$AB$37,Upgrades!$A$2:$A$37,$A40,Upgrades!$B$2:$B$37,$B40,Upgrades!$E$2:$E$37,"&lt;="&amp;$D40))</f>
        <v>0</v>
      </c>
      <c r="M40" s="13" t="n">
        <f aca="false">INDEX(Türme!$T$2:$T$7,MATCH($A40,Türme!$A$2:$A$7,0)) + SUMIFS(Upgrades!$AD$2:$AD$37,Upgrades!$A$2:$A$37,$A40,Upgrades!$B$2:$B$37,$B40,Upgrades!$E$2:$E$37,"&lt;="&amp;$D40)</f>
        <v>0</v>
      </c>
      <c r="N40" s="15" t="n">
        <f aca="false">MIN(1,INDEX(Türme!$U$2:$U$7,MATCH($A40,Türme!$A$2:$A$7,0)) + SUMIFS(Upgrades!$AE$2:$AE$37,Upgrades!$A$2:$A$37,$A40,Upgrades!$B$2:$B$37,$B40,Upgrades!$E$2:$E$37,"&lt;="&amp;$D40))</f>
        <v>0</v>
      </c>
      <c r="O40" s="13" t="n">
        <f aca="false">INDEX(Türme!$V$2:$V$7,MATCH($A40,Türme!$A$2:$A$7,0)) + SUMIFS(Upgrades!$AF$2:$AF$37,Upgrades!$A$2:$A$37,$A40,Upgrades!$B$2:$B$37,$B40,Upgrades!$E$2:$E$37,"&lt;="&amp;$D40)</f>
        <v>0</v>
      </c>
      <c r="P40" s="15" t="n">
        <f aca="false">MIN(1,INDEX(Türme!$W$2:$W$7,MATCH($A40,Türme!$A$2:$A$7,0)) + SUMIFS(Upgrades!$AG$2:$AG$37,Upgrades!$A$2:$A$37,$A40,Upgrades!$B$2:$B$37,$B40,Upgrades!$E$2:$E$37,"&lt;="&amp;$D40))</f>
        <v>0</v>
      </c>
      <c r="Q40" s="15" t="n">
        <f aca="false">MIN(1,INDEX(Türme!$X$2:$X$7,MATCH($A40,Türme!$A$2:$A$7,0)) + SUMIFS(Upgrades!$AH$2:$AH$37,Upgrades!$A$2:$A$37,$A40,Upgrades!$B$2:$B$37,$B40,Upgrades!$E$2:$E$37,"&lt;="&amp;$D40))</f>
        <v>0</v>
      </c>
    </row>
    <row r="41" customFormat="false" ht="15" hidden="false" customHeight="false" outlineLevel="0" collapsed="false">
      <c r="A41" s="12" t="s">
        <v>89</v>
      </c>
      <c r="B41" s="12" t="n">
        <v>1</v>
      </c>
      <c r="C41" s="12" t="s">
        <v>238</v>
      </c>
      <c r="D41" s="12" t="n">
        <v>3</v>
      </c>
      <c r="E41" s="13" t="n">
        <f aca="false">INDEX(Türme!$N$2:$N$7,MATCH($A41,Türme!$A$2:$A$7,0)) + SUMIFS(Upgrades!$J$2:$J$37,Upgrades!$A$2:$A$37,$A41,Upgrades!$B$2:$B$37,$B41,Upgrades!$E$2:$E$37,"&lt;="&amp;$D41) + SUMIFS(Upgrades!$W$2:$W$37,Upgrades!$A$2:$A$37,$A41,Upgrades!$B$2:$B$37,$B41,Upgrades!$E$2:$E$37,"&lt;="&amp;$D41)</f>
        <v>14</v>
      </c>
      <c r="F41" s="14" t="n">
        <f aca="false">MAX(0.1,INDEX(Türme!$O$2:$O$7,MATCH($A41,Türme!$A$2:$A$7,0)) - SUMIFS(Upgrades!$M$2:$M$37,Upgrades!$A$2:$A$37,$A41,Upgrades!$B$2:$B$37,$B41,Upgrades!$E$2:$E$37,"&lt;="&amp;$D41) - SUMIFS(Upgrades!$Y$2:$Y$37,Upgrades!$A$2:$A$37,$A41,Upgrades!$B$2:$B$37,$B41,Upgrades!$E$2:$E$37,"&lt;="&amp;$D41))</f>
        <v>5</v>
      </c>
      <c r="G41" s="13" t="n">
        <f aca="false">E41/F41</f>
        <v>2.8</v>
      </c>
      <c r="H41" s="13" t="n">
        <f aca="false">INDEX(Türme!$L$2:$L$7,MATCH($A41,Türme!$A$2:$A$7,0)) + SUMIFS(Upgrades!$K$2:$K$37,Upgrades!$A$2:$A$37,$A41,Upgrades!$B$2:$B$37,$B41,Upgrades!$E$2:$E$37,"&lt;="&amp;$D41) + SUMIFS(Upgrades!$X$2:$X$37,Upgrades!$A$2:$A$37,$A41,Upgrades!$B$2:$B$37,$B41,Upgrades!$E$2:$E$37,"&lt;="&amp;$D41)</f>
        <v>6.5</v>
      </c>
      <c r="I41" s="13" t="n">
        <f aca="false">INDEX(Türme!$G$2:$G$7,MATCH($A41,Türme!$A$2:$A$7,0)) + SUMIFS(Upgrades!$O$2:$O$37,Upgrades!$A$2:$A$37,$A41,Upgrades!$B$2:$B$37,$B41,Upgrades!$E$2:$E$37,"&lt;="&amp;$D41) + SUMIFS(Upgrades!$U$2:$U$37,Upgrades!$A$2:$A$37,$A41,Upgrades!$B$2:$B$37,$B41,Upgrades!$E$2:$E$37,"&lt;="&amp;$D41)</f>
        <v>380</v>
      </c>
      <c r="J41" s="13" t="n">
        <f aca="false">INDEX(Türme!$I$2:$I$7,MATCH($A41,Türme!$A$2:$A$7,0)) + SUMIFS(Upgrades!$Z$2:$Z$37,Upgrades!$A$2:$A$37,$A41,Upgrades!$B$2:$B$37,$B41,Upgrades!$E$2:$E$37,"&lt;="&amp;$D41)</f>
        <v>15</v>
      </c>
      <c r="K41" s="13" t="n">
        <f aca="false">INDEX(Türme!$J$2:$J$7,MATCH($A41,Türme!$A$2:$A$7,0)) + SUMIFS(Upgrades!$AA$2:$AA$37,Upgrades!$A$2:$A$37,$A41,Upgrades!$B$2:$B$37,$B41,Upgrades!$E$2:$E$37,"&lt;="&amp;$D41)</f>
        <v>45</v>
      </c>
      <c r="L41" s="15" t="n">
        <f aca="false">MIN(1,INDEX(Türme!$R$2:$R$7,MATCH($A41,Türme!$A$2:$A$7,0)) + SUMIFS(Upgrades!$AB$2:$AB$37,Upgrades!$A$2:$A$37,$A41,Upgrades!$B$2:$B$37,$B41,Upgrades!$E$2:$E$37,"&lt;="&amp;$D41))</f>
        <v>0</v>
      </c>
      <c r="M41" s="13" t="n">
        <f aca="false">INDEX(Türme!$T$2:$T$7,MATCH($A41,Türme!$A$2:$A$7,0)) + SUMIFS(Upgrades!$AD$2:$AD$37,Upgrades!$A$2:$A$37,$A41,Upgrades!$B$2:$B$37,$B41,Upgrades!$E$2:$E$37,"&lt;="&amp;$D41)</f>
        <v>0</v>
      </c>
      <c r="N41" s="15" t="n">
        <f aca="false">MIN(1,INDEX(Türme!$U$2:$U$7,MATCH($A41,Türme!$A$2:$A$7,0)) + SUMIFS(Upgrades!$AE$2:$AE$37,Upgrades!$A$2:$A$37,$A41,Upgrades!$B$2:$B$37,$B41,Upgrades!$E$2:$E$37,"&lt;="&amp;$D41))</f>
        <v>0</v>
      </c>
      <c r="O41" s="13" t="n">
        <f aca="false">INDEX(Türme!$V$2:$V$7,MATCH($A41,Türme!$A$2:$A$7,0)) + SUMIFS(Upgrades!$AF$2:$AF$37,Upgrades!$A$2:$A$37,$A41,Upgrades!$B$2:$B$37,$B41,Upgrades!$E$2:$E$37,"&lt;="&amp;$D41)</f>
        <v>0</v>
      </c>
      <c r="P41" s="15" t="n">
        <f aca="false">MIN(1,INDEX(Türme!$W$2:$W$7,MATCH($A41,Türme!$A$2:$A$7,0)) + SUMIFS(Upgrades!$AG$2:$AG$37,Upgrades!$A$2:$A$37,$A41,Upgrades!$B$2:$B$37,$B41,Upgrades!$E$2:$E$37,"&lt;="&amp;$D41))</f>
        <v>0</v>
      </c>
      <c r="Q41" s="15" t="n">
        <f aca="false">MIN(1,INDEX(Türme!$X$2:$X$7,MATCH($A41,Türme!$A$2:$A$7,0)) + SUMIFS(Upgrades!$AH$2:$AH$37,Upgrades!$A$2:$A$37,$A41,Upgrades!$B$2:$B$37,$B41,Upgrades!$E$2:$E$37,"&lt;="&amp;$D41))</f>
        <v>0</v>
      </c>
    </row>
    <row r="42" customFormat="false" ht="15" hidden="false" customHeight="false" outlineLevel="0" collapsed="false">
      <c r="A42" s="12" t="s">
        <v>89</v>
      </c>
      <c r="B42" s="12" t="n">
        <v>2</v>
      </c>
      <c r="C42" s="12" t="s">
        <v>245</v>
      </c>
      <c r="D42" s="12" t="n">
        <v>2</v>
      </c>
      <c r="E42" s="13" t="n">
        <f aca="false">INDEX(Türme!$N$2:$N$7,MATCH($A42,Türme!$A$2:$A$7,0)) + SUMIFS(Upgrades!$J$2:$J$37,Upgrades!$A$2:$A$37,$A42,Upgrades!$B$2:$B$37,$B42,Upgrades!$E$2:$E$37,"&lt;="&amp;$D42) + SUMIFS(Upgrades!$W$2:$W$37,Upgrades!$A$2:$A$37,$A42,Upgrades!$B$2:$B$37,$B42,Upgrades!$E$2:$E$37,"&lt;="&amp;$D42)</f>
        <v>14</v>
      </c>
      <c r="F42" s="14" t="n">
        <f aca="false">MAX(0.1,INDEX(Türme!$O$2:$O$7,MATCH($A42,Türme!$A$2:$A$7,0)) - SUMIFS(Upgrades!$M$2:$M$37,Upgrades!$A$2:$A$37,$A42,Upgrades!$B$2:$B$37,$B42,Upgrades!$E$2:$E$37,"&lt;="&amp;$D42) - SUMIFS(Upgrades!$Y$2:$Y$37,Upgrades!$A$2:$A$37,$A42,Upgrades!$B$2:$B$37,$B42,Upgrades!$E$2:$E$37,"&lt;="&amp;$D42))</f>
        <v>5</v>
      </c>
      <c r="G42" s="13" t="n">
        <f aca="false">E42/F42</f>
        <v>2.8</v>
      </c>
      <c r="H42" s="13" t="n">
        <f aca="false">INDEX(Türme!$L$2:$L$7,MATCH($A42,Türme!$A$2:$A$7,0)) + SUMIFS(Upgrades!$K$2:$K$37,Upgrades!$A$2:$A$37,$A42,Upgrades!$B$2:$B$37,$B42,Upgrades!$E$2:$E$37,"&lt;="&amp;$D42) + SUMIFS(Upgrades!$X$2:$X$37,Upgrades!$A$2:$A$37,$A42,Upgrades!$B$2:$B$37,$B42,Upgrades!$E$2:$E$37,"&lt;="&amp;$D42)</f>
        <v>6.5</v>
      </c>
      <c r="I42" s="13" t="n">
        <f aca="false">INDEX(Türme!$G$2:$G$7,MATCH($A42,Türme!$A$2:$A$7,0)) + SUMIFS(Upgrades!$O$2:$O$37,Upgrades!$A$2:$A$37,$A42,Upgrades!$B$2:$B$37,$B42,Upgrades!$E$2:$E$37,"&lt;="&amp;$D42) + SUMIFS(Upgrades!$U$2:$U$37,Upgrades!$A$2:$A$37,$A42,Upgrades!$B$2:$B$37,$B42,Upgrades!$E$2:$E$37,"&lt;="&amp;$D42)</f>
        <v>100</v>
      </c>
      <c r="J42" s="13" t="n">
        <f aca="false">INDEX(Türme!$I$2:$I$7,MATCH($A42,Türme!$A$2:$A$7,0)) + SUMIFS(Upgrades!$Z$2:$Z$37,Upgrades!$A$2:$A$37,$A42,Upgrades!$B$2:$B$37,$B42,Upgrades!$E$2:$E$37,"&lt;="&amp;$D42)</f>
        <v>0</v>
      </c>
      <c r="K42" s="13" t="n">
        <f aca="false">INDEX(Türme!$J$2:$J$7,MATCH($A42,Türme!$A$2:$A$7,0)) + SUMIFS(Upgrades!$AA$2:$AA$37,Upgrades!$A$2:$A$37,$A42,Upgrades!$B$2:$B$37,$B42,Upgrades!$E$2:$E$37,"&lt;="&amp;$D42)</f>
        <v>10</v>
      </c>
      <c r="L42" s="15" t="n">
        <f aca="false">MIN(1,INDEX(Türme!$R$2:$R$7,MATCH($A42,Türme!$A$2:$A$7,0)) + SUMIFS(Upgrades!$AB$2:$AB$37,Upgrades!$A$2:$A$37,$A42,Upgrades!$B$2:$B$37,$B42,Upgrades!$E$2:$E$37,"&lt;="&amp;$D42))</f>
        <v>0</v>
      </c>
      <c r="M42" s="13" t="n">
        <f aca="false">INDEX(Türme!$T$2:$T$7,MATCH($A42,Türme!$A$2:$A$7,0)) + SUMIFS(Upgrades!$AD$2:$AD$37,Upgrades!$A$2:$A$37,$A42,Upgrades!$B$2:$B$37,$B42,Upgrades!$E$2:$E$37,"&lt;="&amp;$D42)</f>
        <v>0</v>
      </c>
      <c r="N42" s="15" t="n">
        <f aca="false">MIN(1,INDEX(Türme!$U$2:$U$7,MATCH($A42,Türme!$A$2:$A$7,0)) + SUMIFS(Upgrades!$AE$2:$AE$37,Upgrades!$A$2:$A$37,$A42,Upgrades!$B$2:$B$37,$B42,Upgrades!$E$2:$E$37,"&lt;="&amp;$D42))</f>
        <v>0</v>
      </c>
      <c r="O42" s="13" t="n">
        <f aca="false">INDEX(Türme!$V$2:$V$7,MATCH($A42,Türme!$A$2:$A$7,0)) + SUMIFS(Upgrades!$AF$2:$AF$37,Upgrades!$A$2:$A$37,$A42,Upgrades!$B$2:$B$37,$B42,Upgrades!$E$2:$E$37,"&lt;="&amp;$D42)</f>
        <v>0</v>
      </c>
      <c r="P42" s="15" t="n">
        <f aca="false">MIN(1,INDEX(Türme!$W$2:$W$7,MATCH($A42,Türme!$A$2:$A$7,0)) + SUMIFS(Upgrades!$AG$2:$AG$37,Upgrades!$A$2:$A$37,$A42,Upgrades!$B$2:$B$37,$B42,Upgrades!$E$2:$E$37,"&lt;="&amp;$D42))</f>
        <v>0</v>
      </c>
      <c r="Q42" s="15" t="n">
        <f aca="false">MIN(1,INDEX(Türme!$X$2:$X$7,MATCH($A42,Türme!$A$2:$A$7,0)) + SUMIFS(Upgrades!$AH$2:$AH$37,Upgrades!$A$2:$A$37,$A42,Upgrades!$B$2:$B$37,$B42,Upgrades!$E$2:$E$37,"&lt;="&amp;$D42))</f>
        <v>0.06</v>
      </c>
    </row>
    <row r="43" customFormat="false" ht="15" hidden="false" customHeight="false" outlineLevel="0" collapsed="false">
      <c r="A43" s="12" t="s">
        <v>89</v>
      </c>
      <c r="B43" s="12" t="n">
        <v>2</v>
      </c>
      <c r="C43" s="12" t="s">
        <v>245</v>
      </c>
      <c r="D43" s="12" t="n">
        <v>3</v>
      </c>
      <c r="E43" s="13" t="n">
        <f aca="false">INDEX(Türme!$N$2:$N$7,MATCH($A43,Türme!$A$2:$A$7,0)) + SUMIFS(Upgrades!$J$2:$J$37,Upgrades!$A$2:$A$37,$A43,Upgrades!$B$2:$B$37,$B43,Upgrades!$E$2:$E$37,"&lt;="&amp;$D43) + SUMIFS(Upgrades!$W$2:$W$37,Upgrades!$A$2:$A$37,$A43,Upgrades!$B$2:$B$37,$B43,Upgrades!$E$2:$E$37,"&lt;="&amp;$D43)</f>
        <v>14</v>
      </c>
      <c r="F43" s="14" t="n">
        <f aca="false">MAX(0.1,INDEX(Türme!$O$2:$O$7,MATCH($A43,Türme!$A$2:$A$7,0)) - SUMIFS(Upgrades!$M$2:$M$37,Upgrades!$A$2:$A$37,$A43,Upgrades!$B$2:$B$37,$B43,Upgrades!$E$2:$E$37,"&lt;="&amp;$D43) - SUMIFS(Upgrades!$Y$2:$Y$37,Upgrades!$A$2:$A$37,$A43,Upgrades!$B$2:$B$37,$B43,Upgrades!$E$2:$E$37,"&lt;="&amp;$D43))</f>
        <v>5</v>
      </c>
      <c r="G43" s="13" t="n">
        <f aca="false">E43/F43</f>
        <v>2.8</v>
      </c>
      <c r="H43" s="13" t="n">
        <f aca="false">INDEX(Türme!$L$2:$L$7,MATCH($A43,Türme!$A$2:$A$7,0)) + SUMIFS(Upgrades!$K$2:$K$37,Upgrades!$A$2:$A$37,$A43,Upgrades!$B$2:$B$37,$B43,Upgrades!$E$2:$E$37,"&lt;="&amp;$D43) + SUMIFS(Upgrades!$X$2:$X$37,Upgrades!$A$2:$A$37,$A43,Upgrades!$B$2:$B$37,$B43,Upgrades!$E$2:$E$37,"&lt;="&amp;$D43)</f>
        <v>6.5</v>
      </c>
      <c r="I43" s="13" t="n">
        <f aca="false">INDEX(Türme!$G$2:$G$7,MATCH($A43,Türme!$A$2:$A$7,0)) + SUMIFS(Upgrades!$O$2:$O$37,Upgrades!$A$2:$A$37,$A43,Upgrades!$B$2:$B$37,$B43,Upgrades!$E$2:$E$37,"&lt;="&amp;$D43) + SUMIFS(Upgrades!$U$2:$U$37,Upgrades!$A$2:$A$37,$A43,Upgrades!$B$2:$B$37,$B43,Upgrades!$E$2:$E$37,"&lt;="&amp;$D43)</f>
        <v>200</v>
      </c>
      <c r="J43" s="13" t="n">
        <f aca="false">INDEX(Türme!$I$2:$I$7,MATCH($A43,Türme!$A$2:$A$7,0)) + SUMIFS(Upgrades!$Z$2:$Z$37,Upgrades!$A$2:$A$37,$A43,Upgrades!$B$2:$B$37,$B43,Upgrades!$E$2:$E$37,"&lt;="&amp;$D43)</f>
        <v>0</v>
      </c>
      <c r="K43" s="13" t="n">
        <f aca="false">INDEX(Türme!$J$2:$J$7,MATCH($A43,Türme!$A$2:$A$7,0)) + SUMIFS(Upgrades!$AA$2:$AA$37,Upgrades!$A$2:$A$37,$A43,Upgrades!$B$2:$B$37,$B43,Upgrades!$E$2:$E$37,"&lt;="&amp;$D43)</f>
        <v>10</v>
      </c>
      <c r="L43" s="15" t="n">
        <f aca="false">MIN(1,INDEX(Türme!$R$2:$R$7,MATCH($A43,Türme!$A$2:$A$7,0)) + SUMIFS(Upgrades!$AB$2:$AB$37,Upgrades!$A$2:$A$37,$A43,Upgrades!$B$2:$B$37,$B43,Upgrades!$E$2:$E$37,"&lt;="&amp;$D43))</f>
        <v>0</v>
      </c>
      <c r="M43" s="13" t="n">
        <f aca="false">INDEX(Türme!$T$2:$T$7,MATCH($A43,Türme!$A$2:$A$7,0)) + SUMIFS(Upgrades!$AD$2:$AD$37,Upgrades!$A$2:$A$37,$A43,Upgrades!$B$2:$B$37,$B43,Upgrades!$E$2:$E$37,"&lt;="&amp;$D43)</f>
        <v>0</v>
      </c>
      <c r="N43" s="15" t="n">
        <f aca="false">MIN(1,INDEX(Türme!$U$2:$U$7,MATCH($A43,Türme!$A$2:$A$7,0)) + SUMIFS(Upgrades!$AE$2:$AE$37,Upgrades!$A$2:$A$37,$A43,Upgrades!$B$2:$B$37,$B43,Upgrades!$E$2:$E$37,"&lt;="&amp;$D43))</f>
        <v>0</v>
      </c>
      <c r="O43" s="13" t="n">
        <f aca="false">INDEX(Türme!$V$2:$V$7,MATCH($A43,Türme!$A$2:$A$7,0)) + SUMIFS(Upgrades!$AF$2:$AF$37,Upgrades!$A$2:$A$37,$A43,Upgrades!$B$2:$B$37,$B43,Upgrades!$E$2:$E$37,"&lt;="&amp;$D43)</f>
        <v>0</v>
      </c>
      <c r="P43" s="15" t="n">
        <f aca="false">MIN(1,INDEX(Türme!$W$2:$W$7,MATCH($A43,Türme!$A$2:$A$7,0)) + SUMIFS(Upgrades!$AG$2:$AG$37,Upgrades!$A$2:$A$37,$A43,Upgrades!$B$2:$B$37,$B43,Upgrades!$E$2:$E$37,"&lt;="&amp;$D43))</f>
        <v>0</v>
      </c>
      <c r="Q43" s="15" t="n">
        <f aca="false">MIN(1,INDEX(Türme!$X$2:$X$7,MATCH($A43,Türme!$A$2:$A$7,0)) + SUMIFS(Upgrades!$AH$2:$AH$37,Upgrades!$A$2:$A$37,$A43,Upgrades!$B$2:$B$37,$B43,Upgrades!$E$2:$E$37,"&lt;="&amp;$D43))</f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2026-10-19T01:13:54Z</dcterms:created>
  <dc:creator>openpyxl</dc:creator>
  <dc:description/>
  <dc:language>en-US</dc:language>
  <cp:lastModifiedBy/>
  <dcterms:modified xsi:type="dcterms:W3CDTF">2026-10-19T01:13:55Z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